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 hidePivotFieldList="1"/>
  <xr:revisionPtr revIDLastSave="0" documentId="13_ncr:1_{86170BB5-3AFA-495D-AA63-4706DFA888D4}" xr6:coauthVersionLast="47" xr6:coauthVersionMax="47" xr10:uidLastSave="{00000000-0000-0000-0000-000000000000}"/>
  <bookViews>
    <workbookView xWindow="-108" yWindow="-108" windowWidth="23256" windowHeight="12576" activeTab="8" xr2:uid="{00000000-000D-0000-FFFF-FFFF00000000}"/>
  </bookViews>
  <sheets>
    <sheet name="Товары" sheetId="1" r:id="rId1"/>
    <sheet name="Клиенты" sheetId="2" r:id="rId2"/>
    <sheet name="Заказы" sheetId="3" r:id="rId3"/>
    <sheet name="Бланк" sheetId="4" r:id="rId4"/>
    <sheet name="Таблица" sheetId="5" r:id="rId5"/>
    <sheet name="Январь" sheetId="8" r:id="rId6"/>
    <sheet name="Февраль" sheetId="9" r:id="rId7"/>
    <sheet name="Таблица1" sheetId="6" r:id="rId8"/>
    <sheet name="Диаграмма" sheetId="7" r:id="rId9"/>
  </sheets>
  <definedNames>
    <definedName name="_xlcn.WorksheetConnection_ЗаказыA3J171" hidden="1">Заказы!$A$3:$J$17</definedName>
    <definedName name="_xlnm._FilterDatabase" localSheetId="1" hidden="1">Клиенты!$A$3:$I$16</definedName>
    <definedName name="Дата" localSheetId="2">Заказы!$B$4:$B$17</definedName>
    <definedName name="_xlnm.Print_Titles" localSheetId="2">Заказы!$B:$B</definedName>
    <definedName name="_xlnm.Print_Titles" localSheetId="7">Таблица1!$A:$A</definedName>
    <definedName name="Заказ" localSheetId="2">Заказы!$C$4:$C$17</definedName>
    <definedName name="Клиент" localSheetId="1">Клиенты!$C$4:$C$16</definedName>
    <definedName name="Клиент">Клиенты!$C$4:$C$16</definedName>
    <definedName name="Клиенты">Клиенты!$C$4:$C$16</definedName>
    <definedName name="Код" localSheetId="1">Клиенты!$B$4:$B$16</definedName>
    <definedName name="Код2" localSheetId="2">Заказы!$H$4:$H$17</definedName>
    <definedName name="Количество" localSheetId="2">Заказы!$F$4:$F$17</definedName>
    <definedName name="_xlnm.Criteria" localSheetId="1">Клиенты!$L$3:$M$6</definedName>
    <definedName name="Номер" localSheetId="0">Товары!$A$4:$A$14</definedName>
    <definedName name="Номер2" localSheetId="2">Заказы!$D$4:$D$17</definedName>
    <definedName name="Оплата" localSheetId="2">Заказы!$L$4:$L$17</definedName>
    <definedName name="Скидка" localSheetId="2">Заказы!$K$4:$K$17</definedName>
    <definedName name="Скидка" localSheetId="1">Клиенты!$I$4:$I$16</definedName>
    <definedName name="Скидка2" localSheetId="2">Заказы!$K$4:$K$17</definedName>
    <definedName name="Сумма" localSheetId="2">Заказы!$J$4:$J$17</definedName>
    <definedName name="Товар" localSheetId="0">Товары!$B$4:$B$14</definedName>
    <definedName name="Товар2" localSheetId="2">Заказы!$E$4:$E$17</definedName>
    <definedName name="Фирма" localSheetId="1">Клиенты!$A$4:$A$16</definedName>
    <definedName name="Фирма2" localSheetId="2">Заказы!$I$4:$I$17</definedName>
    <definedName name="Цена" localSheetId="0">Товары!$D$4:$D$14</definedName>
    <definedName name="Цена2" localSheetId="2">Заказы!$G$4:$G$17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Диапазон" name="Диапазон" connection="WorksheetConnection_Заказы!$A$3:$J$17"/>
        </x15:modelTables>
      </x15:dataModel>
    </ext>
  </extLst>
</workbook>
</file>

<file path=xl/calcChain.xml><?xml version="1.0" encoding="utf-8"?>
<calcChain xmlns="http://schemas.openxmlformats.org/spreadsheetml/2006/main">
  <c r="N12" i="4" l="1"/>
  <c r="AB10" i="4"/>
  <c r="Y6" i="4"/>
  <c r="T16" i="4" s="1"/>
  <c r="W4" i="4"/>
  <c r="E7" i="3"/>
  <c r="E5" i="3"/>
  <c r="E6" i="3"/>
  <c r="E8" i="3"/>
  <c r="E9" i="3"/>
  <c r="E10" i="3"/>
  <c r="E11" i="3"/>
  <c r="E12" i="3"/>
  <c r="E13" i="3"/>
  <c r="E14" i="3"/>
  <c r="E15" i="3"/>
  <c r="E16" i="3"/>
  <c r="P10" i="4" s="1"/>
  <c r="E17" i="3"/>
  <c r="E4" i="3"/>
  <c r="D5" i="1"/>
  <c r="D6" i="1"/>
  <c r="D7" i="1"/>
  <c r="D8" i="1"/>
  <c r="D9" i="1"/>
  <c r="D10" i="1"/>
  <c r="D11" i="1"/>
  <c r="D12" i="1"/>
  <c r="D13" i="1"/>
  <c r="D14" i="1"/>
  <c r="D4" i="1"/>
  <c r="K17" i="3" l="1"/>
  <c r="K5" i="3"/>
  <c r="K6" i="3"/>
  <c r="K7" i="3"/>
  <c r="K8" i="3"/>
  <c r="K9" i="3"/>
  <c r="K10" i="3"/>
  <c r="K11" i="3"/>
  <c r="K12" i="3"/>
  <c r="K13" i="3"/>
  <c r="K14" i="3"/>
  <c r="K15" i="3"/>
  <c r="K16" i="3"/>
  <c r="AA14" i="4" s="1"/>
  <c r="K4" i="3"/>
  <c r="I5" i="3"/>
  <c r="I6" i="3"/>
  <c r="I7" i="3"/>
  <c r="I8" i="3"/>
  <c r="I9" i="3"/>
  <c r="I10" i="3"/>
  <c r="I11" i="3"/>
  <c r="I12" i="3"/>
  <c r="I13" i="3"/>
  <c r="I14" i="3"/>
  <c r="I15" i="3"/>
  <c r="I16" i="3"/>
  <c r="C8" i="4" s="1"/>
  <c r="I17" i="3"/>
  <c r="I4" i="3" l="1"/>
  <c r="G12" i="3" l="1"/>
  <c r="J12" i="3" s="1"/>
  <c r="L12" i="3" s="1"/>
  <c r="G7" i="3"/>
  <c r="J7" i="3" s="1"/>
  <c r="L7" i="3" s="1"/>
  <c r="G5" i="3"/>
  <c r="J5" i="3" s="1"/>
  <c r="L5" i="3" s="1"/>
  <c r="G13" i="3"/>
  <c r="J13" i="3" s="1"/>
  <c r="L13" i="3" s="1"/>
  <c r="G11" i="3"/>
  <c r="J11" i="3" s="1"/>
  <c r="L11" i="3" s="1"/>
  <c r="G9" i="3"/>
  <c r="J9" i="3" s="1"/>
  <c r="L9" i="3" s="1"/>
  <c r="G6" i="3"/>
  <c r="J6" i="3" s="1"/>
  <c r="G14" i="3" l="1"/>
  <c r="J14" i="3" s="1"/>
  <c r="L14" i="3" s="1"/>
  <c r="G15" i="3"/>
  <c r="G8" i="3"/>
  <c r="J8" i="3" s="1"/>
  <c r="L8" i="3" s="1"/>
  <c r="G17" i="3"/>
  <c r="J17" i="3" s="1"/>
  <c r="L17" i="3" s="1"/>
  <c r="G16" i="3"/>
  <c r="G10" i="3"/>
  <c r="J10" i="3" s="1"/>
  <c r="L10" i="3" s="1"/>
  <c r="G4" i="3"/>
  <c r="J4" i="3" s="1"/>
  <c r="L4" i="3" s="1"/>
  <c r="L6" i="3"/>
  <c r="J16" i="3" l="1"/>
  <c r="Z12" i="4"/>
  <c r="J15" i="3"/>
  <c r="L16" i="3" l="1"/>
  <c r="E16" i="4" s="1"/>
  <c r="M14" i="4"/>
  <c r="L1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Заказы!$A$3:$J$17" type="102" refreshedVersion="8" minRefreshableVersion="5">
    <extLst>
      <ext xmlns:x15="http://schemas.microsoft.com/office/spreadsheetml/2010/11/main" uri="{DE250136-89BD-433C-8126-D09CA5730AF9}">
        <x15:connection id="Диапазон" autoDelete="1">
          <x15:rangePr sourceName="_xlcn.WorksheetConnection_ЗаказыA3J17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Диапазон].[Месяц].&amp;[Январь]}"/>
    <s v="{[Диапазон].[Месяц].&amp;[Февраль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<sst xmlns="http://schemas.openxmlformats.org/spreadsheetml/2006/main" count="216" uniqueCount="124">
  <si>
    <t>Номер</t>
  </si>
  <si>
    <t>Наименование товара</t>
  </si>
  <si>
    <t>Цена</t>
  </si>
  <si>
    <t>Компьютер P5-66</t>
  </si>
  <si>
    <t>Компьютер P5-100</t>
  </si>
  <si>
    <t>Компьютер 486-66</t>
  </si>
  <si>
    <t>Компьютер 486-75</t>
  </si>
  <si>
    <t>Принтер лазерный ОХ</t>
  </si>
  <si>
    <t>Принтер лазерный ПХ</t>
  </si>
  <si>
    <t>Принтер лазерный ЧБ</t>
  </si>
  <si>
    <t>Принтер струйный Ц</t>
  </si>
  <si>
    <t>Монитор 14"</t>
  </si>
  <si>
    <t>Монитор 17"</t>
  </si>
  <si>
    <t>Монитор 15"</t>
  </si>
  <si>
    <t>Курс доллара</t>
  </si>
  <si>
    <t>Название</t>
  </si>
  <si>
    <t>Код</t>
  </si>
  <si>
    <t>Контактная персона</t>
  </si>
  <si>
    <t>Индекс</t>
  </si>
  <si>
    <t>Город</t>
  </si>
  <si>
    <t>Улица</t>
  </si>
  <si>
    <t>Телефон</t>
  </si>
  <si>
    <t>Телефакс</t>
  </si>
  <si>
    <t>Скидка (%)</t>
  </si>
  <si>
    <t>Плата ОАО</t>
  </si>
  <si>
    <t>Анна Умная</t>
  </si>
  <si>
    <t>Киев</t>
  </si>
  <si>
    <t>Прямая 7</t>
  </si>
  <si>
    <t>044-22800</t>
  </si>
  <si>
    <t>Лад ОАО</t>
  </si>
  <si>
    <t>Денис Серга</t>
  </si>
  <si>
    <t>Ильича 1</t>
  </si>
  <si>
    <t>044-44600</t>
  </si>
  <si>
    <t>Старт ОАО</t>
  </si>
  <si>
    <t>Анатолий Рыжий</t>
  </si>
  <si>
    <t>Тупик 4</t>
  </si>
  <si>
    <t>044-55500</t>
  </si>
  <si>
    <t>Винт ООО</t>
  </si>
  <si>
    <t>Алексей Добрый</t>
  </si>
  <si>
    <t>Харьков</t>
  </si>
  <si>
    <t>Средняя 8</t>
  </si>
  <si>
    <t>0572-2234</t>
  </si>
  <si>
    <t>0572-2223</t>
  </si>
  <si>
    <t>Память ООО</t>
  </si>
  <si>
    <t>Иван Иванов</t>
  </si>
  <si>
    <t>Донецк</t>
  </si>
  <si>
    <t>Первая 3</t>
  </si>
  <si>
    <t>0622-5778</t>
  </si>
  <si>
    <t>0622-5667</t>
  </si>
  <si>
    <t>Компакт ООО</t>
  </si>
  <si>
    <t>Алена Вест</t>
  </si>
  <si>
    <t>Узкая 10</t>
  </si>
  <si>
    <t>044-43500</t>
  </si>
  <si>
    <t>Диск ООО</t>
  </si>
  <si>
    <t>Виталий Серый</t>
  </si>
  <si>
    <t>Львов</t>
  </si>
  <si>
    <t>Старая 1</t>
  </si>
  <si>
    <t>0322-2323</t>
  </si>
  <si>
    <t>Комторг ООО</t>
  </si>
  <si>
    <t>Андрей Теневой</t>
  </si>
  <si>
    <t>Одесса</t>
  </si>
  <si>
    <t>Морская 2</t>
  </si>
  <si>
    <t>0482-2001</t>
  </si>
  <si>
    <t>Монитор ЗАО</t>
  </si>
  <si>
    <t>Сергей Ворчун</t>
  </si>
  <si>
    <t>Горная 40</t>
  </si>
  <si>
    <t>044-20002</t>
  </si>
  <si>
    <t>044-20001</t>
  </si>
  <si>
    <t>Финиш ООО</t>
  </si>
  <si>
    <t>Вера Холодная</t>
  </si>
  <si>
    <t>Вторая 13</t>
  </si>
  <si>
    <t>0622-9009</t>
  </si>
  <si>
    <t>Ворлд ЛТД</t>
  </si>
  <si>
    <t>Ирина Волк</t>
  </si>
  <si>
    <t>Пятая 20</t>
  </si>
  <si>
    <t>044-22266</t>
  </si>
  <si>
    <t>044-22255</t>
  </si>
  <si>
    <t>Корпус ОАО</t>
  </si>
  <si>
    <t>Николай Крутой</t>
  </si>
  <si>
    <t>Речная 16</t>
  </si>
  <si>
    <t>044-22101</t>
  </si>
  <si>
    <t>044-20011</t>
  </si>
  <si>
    <t>Новь ЧП</t>
  </si>
  <si>
    <t>Виктория Пух</t>
  </si>
  <si>
    <t>Новая 5</t>
  </si>
  <si>
    <t>0572-2990</t>
  </si>
  <si>
    <t>0572-2110</t>
  </si>
  <si>
    <t>Месяц</t>
  </si>
  <si>
    <t>Дата</t>
  </si>
  <si>
    <t>Номер заказа</t>
  </si>
  <si>
    <t>Номер товара</t>
  </si>
  <si>
    <t>Количество</t>
  </si>
  <si>
    <t>Цена за единицу</t>
  </si>
  <si>
    <t>Код заказчика</t>
  </si>
  <si>
    <t>Наименование фирмы</t>
  </si>
  <si>
    <t>Сумма заказа</t>
  </si>
  <si>
    <t>Уплачено</t>
  </si>
  <si>
    <t>Январь</t>
  </si>
  <si>
    <t>Февраль</t>
  </si>
  <si>
    <t>Наименование фирмы-заказчика</t>
  </si>
  <si>
    <t>Заказ №</t>
  </si>
  <si>
    <t>от</t>
  </si>
  <si>
    <t>Заказываемое количество</t>
  </si>
  <si>
    <t>Общая стоимость заказа</t>
  </si>
  <si>
    <t>К оплате</t>
  </si>
  <si>
    <t>Оформил</t>
  </si>
  <si>
    <t>ед.</t>
  </si>
  <si>
    <t>по цене</t>
  </si>
  <si>
    <t>№</t>
  </si>
  <si>
    <t>за ед.</t>
  </si>
  <si>
    <t>Названия строк</t>
  </si>
  <si>
    <t>Общий итог</t>
  </si>
  <si>
    <t>Сумма по полю Сумма заказа</t>
  </si>
  <si>
    <t>(Все)</t>
  </si>
  <si>
    <t>Лабораторная работа № 8</t>
  </si>
  <si>
    <t>Лабораторная работа № 7</t>
  </si>
  <si>
    <t>Лабораторная работа № 9</t>
  </si>
  <si>
    <t>Лабораторная работа № 10</t>
  </si>
  <si>
    <t>Сумма по столбцу Сумма заказа</t>
  </si>
  <si>
    <t>Названия столбцов</t>
  </si>
  <si>
    <t>«Сводные таблицы. Построение диаграмм»</t>
  </si>
  <si>
    <t>«Ввод, редактирование и формирование данных»</t>
  </si>
  <si>
    <t>«Сортировка данных. Использование фильтров»</t>
  </si>
  <si>
    <t>«Использование функций»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</si>
</sst>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\ #,##0.00"/>
    <numFmt numFmtId="165" formatCode="#,##0.00\ &quot;₽&quot;"/>
    <numFmt numFmtId="166" formatCode="00\-00"/>
    <numFmt numFmtId="167" formatCode="##\-#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8">
    <xf numFmtId="0" fontId="0" fillId="0" borderId="0" xfId="0"/>
    <xf numFmtId="0" fontId="1" fillId="0" borderId="2" xfId="0" applyFont="1" applyBorder="1"/>
    <xf numFmtId="0" fontId="1" fillId="0" borderId="2" xfId="0" applyFont="1" applyBorder="1" applyAlignment="1">
      <alignment horizontal="left" vertical="top"/>
    </xf>
    <xf numFmtId="164" fontId="1" fillId="0" borderId="2" xfId="0" applyNumberFormat="1" applyFont="1" applyBorder="1" applyAlignment="1">
      <alignment horizontal="left"/>
    </xf>
    <xf numFmtId="165" fontId="1" fillId="0" borderId="2" xfId="0" applyNumberFormat="1" applyFont="1" applyBorder="1" applyAlignment="1">
      <alignment horizontal="left"/>
    </xf>
    <xf numFmtId="0" fontId="1" fillId="0" borderId="4" xfId="0" applyFont="1" applyBorder="1"/>
    <xf numFmtId="0" fontId="2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" fontId="0" fillId="0" borderId="0" xfId="0" applyNumberFormat="1"/>
    <xf numFmtId="166" fontId="0" fillId="0" borderId="0" xfId="0" applyNumberFormat="1" applyAlignment="1">
      <alignment horizontal="center"/>
    </xf>
    <xf numFmtId="165" fontId="1" fillId="0" borderId="5" xfId="0" applyNumberFormat="1" applyFont="1" applyBorder="1" applyAlignment="1">
      <alignment horizontal="left" vertical="top"/>
    </xf>
    <xf numFmtId="0" fontId="1" fillId="0" borderId="14" xfId="0" applyFont="1" applyBorder="1"/>
    <xf numFmtId="0" fontId="1" fillId="0" borderId="15" xfId="0" applyFont="1" applyBorder="1"/>
    <xf numFmtId="0" fontId="1" fillId="0" borderId="0" xfId="0" applyFont="1"/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10" xfId="0" applyFont="1" applyFill="1" applyBorder="1" applyAlignment="1">
      <alignment horizontal="left" vertical="center"/>
    </xf>
    <xf numFmtId="0" fontId="1" fillId="2" borderId="0" xfId="0" applyFont="1" applyFill="1"/>
    <xf numFmtId="0" fontId="1" fillId="2" borderId="1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pivotButton="1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14" xfId="0" applyFont="1" applyBorder="1" applyAlignment="1">
      <alignment horizontal="center"/>
    </xf>
    <xf numFmtId="14" fontId="1" fillId="0" borderId="14" xfId="0" applyNumberFormat="1" applyFont="1" applyBorder="1" applyAlignment="1">
      <alignment horizontal="center"/>
    </xf>
    <xf numFmtId="166" fontId="1" fillId="0" borderId="14" xfId="0" applyNumberFormat="1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4" fontId="1" fillId="0" borderId="15" xfId="0" applyNumberFormat="1" applyFont="1" applyBorder="1" applyAlignment="1">
      <alignment horizontal="center"/>
    </xf>
    <xf numFmtId="166" fontId="1" fillId="0" borderId="15" xfId="0" applyNumberFormat="1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0" fontId="0" fillId="0" borderId="0" xfId="0" quotePrefix="1"/>
    <xf numFmtId="165" fontId="1" fillId="0" borderId="0" xfId="0" applyNumberFormat="1" applyFont="1"/>
    <xf numFmtId="0" fontId="1" fillId="0" borderId="0" xfId="0" pivotButton="1" applyFont="1" applyAlignment="1">
      <alignment wrapText="1"/>
    </xf>
    <xf numFmtId="0" fontId="1" fillId="0" borderId="0" xfId="0" applyFont="1" applyAlignment="1">
      <alignment wrapText="1"/>
    </xf>
    <xf numFmtId="165" fontId="1" fillId="0" borderId="0" xfId="0" applyNumberFormat="1" applyFont="1" applyAlignment="1">
      <alignment wrapText="1"/>
    </xf>
    <xf numFmtId="0" fontId="1" fillId="0" borderId="0" xfId="0" quotePrefix="1" applyFont="1"/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 vertical="top" wrapText="1"/>
    </xf>
    <xf numFmtId="0" fontId="3" fillId="0" borderId="0" xfId="0" quotePrefix="1" applyFont="1" applyAlignment="1">
      <alignment horizontal="left" vertical="center"/>
    </xf>
    <xf numFmtId="10" fontId="1" fillId="0" borderId="14" xfId="1" applyNumberFormat="1" applyFont="1" applyBorder="1"/>
    <xf numFmtId="10" fontId="1" fillId="0" borderId="2" xfId="1" applyNumberFormat="1" applyFont="1" applyBorder="1"/>
    <xf numFmtId="10" fontId="1" fillId="0" borderId="15" xfId="1" applyNumberFormat="1" applyFont="1" applyBorder="1"/>
    <xf numFmtId="10" fontId="1" fillId="0" borderId="14" xfId="1" applyNumberFormat="1" applyFont="1" applyBorder="1" applyAlignment="1">
      <alignment horizontal="center"/>
    </xf>
    <xf numFmtId="10" fontId="1" fillId="0" borderId="2" xfId="1" applyNumberFormat="1" applyFont="1" applyBorder="1" applyAlignment="1">
      <alignment horizontal="center"/>
    </xf>
    <xf numFmtId="10" fontId="1" fillId="0" borderId="15" xfId="1" applyNumberFormat="1" applyFont="1" applyBorder="1" applyAlignment="1">
      <alignment horizontal="center"/>
    </xf>
    <xf numFmtId="14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/>
    <xf numFmtId="14" fontId="1" fillId="0" borderId="0" xfId="0" applyNumberFormat="1" applyFont="1" applyAlignment="1">
      <alignment horizontal="right" wrapText="1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14" fontId="1" fillId="2" borderId="6" xfId="0" applyNumberFormat="1" applyFont="1" applyFill="1" applyBorder="1" applyAlignment="1">
      <alignment horizontal="center"/>
    </xf>
    <xf numFmtId="165" fontId="1" fillId="2" borderId="6" xfId="0" applyNumberFormat="1" applyFont="1" applyFill="1" applyBorder="1" applyAlignment="1">
      <alignment horizontal="center"/>
    </xf>
    <xf numFmtId="167" fontId="1" fillId="2" borderId="6" xfId="0" applyNumberFormat="1" applyFont="1" applyFill="1" applyBorder="1" applyAlignment="1">
      <alignment horizontal="center"/>
    </xf>
    <xf numFmtId="10" fontId="1" fillId="2" borderId="6" xfId="1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Обычный" xfId="0" builtinId="0"/>
    <cellStyle name="Процентный" xfId="1" builtinId="5"/>
  </cellStyles>
  <dxfs count="58">
    <dxf>
      <alignment wrapText="1" readingOrder="0"/>
    </dxf>
    <dxf>
      <alignment wrapText="1" readingOrder="0"/>
    </dxf>
    <dxf>
      <alignment horizontal="right"/>
    </dxf>
    <dxf>
      <alignment horizontal="right"/>
    </dxf>
    <dxf>
      <alignment horizontal="right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alignment horizontal="right"/>
    </dxf>
    <dxf>
      <alignment horizontal="right"/>
    </dxf>
    <dxf>
      <alignment horizontal="right"/>
    </dxf>
    <dxf>
      <numFmt numFmtId="165" formatCode="#,##0.00\ &quot;₽&quot;"/>
    </dxf>
    <dxf>
      <alignment wrapText="1"/>
    </dxf>
    <dxf>
      <alignment wrapText="1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wrapText="1" readingOrder="0"/>
    </dxf>
    <dxf>
      <alignment wrapText="1"/>
    </dxf>
    <dxf>
      <alignment wrapText="1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 val="0"/>
        <i/>
      </font>
    </dxf>
    <dxf>
      <font>
        <b val="0"/>
        <i/>
      </font>
    </dxf>
  </dxfs>
  <tableStyles count="0" defaultTableStyle="TableStyleMedium2" defaultPivotStyle="PivotStyleLight16"/>
  <colors>
    <mruColors>
      <color rgb="FFFFFF66"/>
      <color rgb="FF00FF00"/>
      <color rgb="FFFF0000"/>
      <color rgb="FF42AAFF"/>
      <color rgb="FFFFFFE0"/>
      <color rgb="FFDC143C"/>
      <color rgb="FFC8A2C8"/>
      <color rgb="FFFF00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[ZA5.xlsm]Таблица!Сводная таблица2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Динамика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сбыта товаров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по месяцам</a:t>
            </a:r>
            <a:endParaRPr lang="ru-RU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42490804302430163"/>
          <c:y val="3.8069856652533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2"/>
        <c:spPr>
          <a:solidFill>
            <a:schemeClr val="accent5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5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335053361762008E-2"/>
          <c:y val="0.10138501918029473"/>
          <c:w val="0.89951678285510206"/>
          <c:h val="0.781925297799313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Таблица!$B$3:$B$4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prstClr val="black"/>
            </a:solidFill>
            <a:ln>
              <a:solidFill>
                <a:prstClr val="black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C5-4D1C-84F4-10BD1C35B62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1C5-4D1C-84F4-10BD1C35B62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1C5-4D1C-84F4-10BD1C35B623}"/>
              </c:ext>
            </c:extLst>
          </c:dPt>
          <c:dLbls>
            <c:dLbl>
              <c:idx val="0"/>
              <c:layout>
                <c:manualLayout>
                  <c:x val="0"/>
                  <c:y val="-9.4358974358974515E-2"/>
                </c:manualLayout>
              </c:layout>
              <c:tx>
                <c:rich>
                  <a:bodyPr/>
                  <a:lstStyle/>
                  <a:p>
                    <a:fld id="{60D3CE2F-9543-4914-A619-5C52D9E42D7F}" type="VALUE">
                      <a:rPr lang="en-US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/>
                      <a:t>[ЗНАЧЕНИЕ]</a:t>
                    </a:fld>
                    <a:endParaRPr lang="ru-RU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1C5-4D1C-84F4-10BD1C35B623}"/>
                </c:ext>
              </c:extLst>
            </c:dLbl>
            <c:dLbl>
              <c:idx val="5"/>
              <c:layout>
                <c:manualLayout>
                  <c:x val="-1.0084122635631882E-16"/>
                  <c:y val="-4.10256410256411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C5-4D1C-84F4-10BD1C35B623}"/>
                </c:ext>
              </c:extLst>
            </c:dLbl>
            <c:dLbl>
              <c:idx val="10"/>
              <c:layout>
                <c:manualLayout>
                  <c:x val="0"/>
                  <c:y val="-4.71794871794871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Таблица!$B$5:$B$15</c:f>
              <c:numCache>
                <c:formatCode>#\ ##0.00\ "₽"</c:formatCode>
                <c:ptCount val="11"/>
                <c:pt idx="0">
                  <c:v>202800</c:v>
                </c:pt>
                <c:pt idx="2">
                  <c:v>195000</c:v>
                </c:pt>
                <c:pt idx="5">
                  <c:v>43810</c:v>
                </c:pt>
                <c:pt idx="10">
                  <c:v>67340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9-419E-934D-D8120192D574}"/>
            </c:ext>
          </c:extLst>
        </c:ser>
        <c:ser>
          <c:idx val="1"/>
          <c:order val="1"/>
          <c:tx>
            <c:strRef>
              <c:f>Таблица!$C$3:$C$4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prstClr val="white"/>
            </a:solidFill>
            <a:ln>
              <a:solidFill>
                <a:prstClr val="black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C5-4D1C-84F4-10BD1C35B62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1C5-4D1C-84F4-10BD1C35B623}"/>
              </c:ext>
            </c:extLst>
          </c:dPt>
          <c:dLbls>
            <c:dLbl>
              <c:idx val="1"/>
              <c:layout>
                <c:manualLayout>
                  <c:x val="0"/>
                  <c:y val="-8.00000000000001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C5-4D1C-84F4-10BD1C35B623}"/>
                </c:ext>
              </c:extLst>
            </c:dLbl>
            <c:dLbl>
              <c:idx val="3"/>
              <c:layout>
                <c:manualLayout>
                  <c:x val="0"/>
                  <c:y val="-8.4102564102564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Таблица!$C$5:$C$15</c:f>
              <c:numCache>
                <c:formatCode>#\ ##0.00\ "₽"</c:formatCode>
                <c:ptCount val="11"/>
                <c:pt idx="1">
                  <c:v>159705</c:v>
                </c:pt>
                <c:pt idx="3">
                  <c:v>194805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71C-4598-9E2B-384A6BA1E20D}"/>
            </c:ext>
          </c:extLst>
        </c:ser>
        <c:ser>
          <c:idx val="2"/>
          <c:order val="2"/>
          <c:tx>
            <c:strRef>
              <c:f>Таблица!$D$3:$D$4</c:f>
              <c:strCache>
                <c:ptCount val="1"/>
                <c:pt idx="0">
                  <c:v>20</c:v>
                </c:pt>
              </c:strCache>
            </c:strRef>
          </c:tx>
          <c:spPr>
            <a:pattFill prst="pct50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1C5-4D1C-84F4-10BD1C35B62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1C5-4D1C-84F4-10BD1C35B623}"/>
              </c:ext>
            </c:extLst>
          </c:dPt>
          <c:dLbls>
            <c:dLbl>
              <c:idx val="7"/>
              <c:layout>
                <c:manualLayout>
                  <c:x val="0"/>
                  <c:y val="-8.6153846153846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1C5-4D1C-84F4-10BD1C35B623}"/>
                </c:ext>
              </c:extLst>
            </c:dLbl>
            <c:dLbl>
              <c:idx val="8"/>
              <c:layout>
                <c:manualLayout>
                  <c:x val="0"/>
                  <c:y val="-4.92307692307693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Таблица!$D$5:$D$15</c:f>
              <c:numCache>
                <c:formatCode>#\ ##0.00\ "₽"</c:formatCode>
                <c:ptCount val="11"/>
                <c:pt idx="2">
                  <c:v>390000</c:v>
                </c:pt>
                <c:pt idx="7">
                  <c:v>192400</c:v>
                </c:pt>
                <c:pt idx="8">
                  <c:v>77740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71C-4598-9E2B-384A6BA1E20D}"/>
            </c:ext>
          </c:extLst>
        </c:ser>
        <c:ser>
          <c:idx val="3"/>
          <c:order val="3"/>
          <c:tx>
            <c:strRef>
              <c:f>Таблица!$E$3:$E$4</c:f>
              <c:strCache>
                <c:ptCount val="1"/>
                <c:pt idx="0">
                  <c:v>30</c:v>
                </c:pt>
              </c:strCache>
            </c:strRef>
          </c:tx>
          <c:spPr>
            <a:pattFill prst="pct75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C5-4D1C-84F4-10BD1C35B62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1C5-4D1C-84F4-10BD1C35B62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1C5-4D1C-84F4-10BD1C35B623}"/>
              </c:ext>
            </c:extLst>
          </c:dPt>
          <c:dLbls>
            <c:dLbl>
              <c:idx val="2"/>
              <c:layout>
                <c:manualLayout>
                  <c:x val="-5.0420613178159409E-17"/>
                  <c:y val="-0.20738073894609327"/>
                </c:manualLayout>
              </c:layout>
              <c:tx>
                <c:rich>
                  <a:bodyPr/>
                  <a:lstStyle/>
                  <a:p>
                    <a:fld id="{C8BA0CA8-D582-478B-94D2-6413FAF5A7F8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1C5-4D1C-84F4-10BD1C35B623}"/>
                </c:ext>
              </c:extLst>
            </c:dLbl>
            <c:dLbl>
              <c:idx val="4"/>
              <c:layout>
                <c:manualLayout>
                  <c:x val="-5.0420613178159409E-17"/>
                  <c:y val="-5.32971532404603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C5-4D1C-84F4-10BD1C35B623}"/>
                </c:ext>
              </c:extLst>
            </c:dLbl>
            <c:dLbl>
              <c:idx val="6"/>
              <c:layout>
                <c:manualLayout>
                  <c:x val="0"/>
                  <c:y val="-0.1850359781950333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Таблица!$E$5:$E$15</c:f>
              <c:numCache>
                <c:formatCode>#\ ##0.00\ "₽"</c:formatCode>
                <c:ptCount val="11"/>
                <c:pt idx="2">
                  <c:v>585000</c:v>
                </c:pt>
                <c:pt idx="4">
                  <c:v>85800</c:v>
                </c:pt>
                <c:pt idx="6">
                  <c:v>507000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71C-4598-9E2B-384A6BA1E20D}"/>
            </c:ext>
          </c:extLst>
        </c:ser>
        <c:ser>
          <c:idx val="4"/>
          <c:order val="4"/>
          <c:tx>
            <c:strRef>
              <c:f>Таблица!$F$3:$F$4</c:f>
              <c:strCache>
                <c:ptCount val="1"/>
                <c:pt idx="0">
                  <c:v>40</c:v>
                </c:pt>
              </c:strCache>
            </c:strRef>
          </c:tx>
          <c:spPr>
            <a:pattFill prst="pct25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1C5-4D1C-84F4-10BD1C35B623}"/>
              </c:ext>
            </c:extLst>
          </c:dPt>
          <c:dLbls>
            <c:dLbl>
              <c:idx val="9"/>
              <c:layout>
                <c:manualLayout>
                  <c:x val="0"/>
                  <c:y val="-0.1025641025641027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Таблица!$F$5:$F$15</c:f>
              <c:numCache>
                <c:formatCode>#\ ##0.00\ "₽"</c:formatCode>
                <c:ptCount val="11"/>
                <c:pt idx="9">
                  <c:v>239200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71C-4598-9E2B-384A6BA1E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100"/>
        <c:axId val="681170064"/>
        <c:axId val="681172688"/>
      </c:barChart>
      <c:catAx>
        <c:axId val="68117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8A2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81172688"/>
        <c:crosses val="autoZero"/>
        <c:auto val="1"/>
        <c:lblAlgn val="ctr"/>
        <c:lblOffset val="100"/>
        <c:noMultiLvlLbl val="0"/>
      </c:catAx>
      <c:valAx>
        <c:axId val="68117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out"/>
        <c:minorTickMark val="out"/>
        <c:tickLblPos val="nextTo"/>
        <c:spPr>
          <a:noFill/>
          <a:ln>
            <a:solidFill>
              <a:srgbClr val="42AAF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1170064"/>
        <c:crosses val="autoZero"/>
        <c:crossBetween val="between"/>
        <c:majorUnit val="250000"/>
      </c:valAx>
      <c:spPr>
        <a:noFill/>
        <a:ln>
          <a:solidFill>
            <a:srgbClr val="FF0000"/>
          </a:solidFill>
        </a:ln>
        <a:effectLst/>
      </c:spPr>
    </c:plotArea>
    <c:legend>
      <c:legendPos val="tr"/>
      <c:layout>
        <c:manualLayout>
          <c:xMode val="edge"/>
          <c:yMode val="edge"/>
          <c:x val="0.81846062565723343"/>
          <c:y val="1.9608318190995358E-2"/>
          <c:w val="0.17251878431331233"/>
          <c:h val="6.7417726630325053E-2"/>
        </c:manualLayout>
      </c:layout>
      <c:overlay val="0"/>
      <c:spPr>
        <a:solidFill>
          <a:schemeClr val="accent6">
            <a:lumMod val="75000"/>
          </a:schemeClr>
        </a:solidFill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1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66"/>
    </a:solidFill>
    <a:ln w="9525" cap="flat" cmpd="sng" algn="ctr">
      <a:solidFill>
        <a:srgbClr val="DC143C"/>
      </a:solidFill>
      <a:prstDash val="dash"/>
      <a:round/>
    </a:ln>
    <a:effectLst/>
  </c:spPr>
  <c:txPr>
    <a:bodyPr/>
    <a:lstStyle/>
    <a:p>
      <a:pPr>
        <a:defRPr sz="800"/>
      </a:pPr>
      <a:endParaRPr lang="ru-RU"/>
    </a:p>
  </c:txPr>
  <c:printSettings>
    <c:headerFooter>
      <c:oddHeader>&amp;L&amp;"Times New Roman,обычный"Хромцов С.Ю.
По-432&amp;C&amp;"Times New Roman,обычный"&amp;A&amp;R&amp;"Times New Roman,обычный"&amp;D</c:oddHeader>
      <c:oddFooter>&amp;C&amp;"Times New Roman,обычный"&amp;P</c:oddFooter>
    </c:headerFooter>
    <c:pageMargins b="1.5748031496062993" l="0.78740157480314965" r="0.78740157480314965" t="0.98425196850393704" header="0.51181102362204722" footer="1.1023622047244095"/>
    <c:pageSetup orientation="landscape" blackAndWhite="1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594360</xdr:colOff>
      <xdr:row>27</xdr:row>
      <xdr:rowOff>137160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226.879577199077" backgroundQuery="1" createdVersion="6" refreshedVersion="8" minRefreshableVersion="3" recordCount="0" supportSubquery="1" supportAdvancedDrill="1" xr:uid="{00000000-000A-0000-FFFF-FFFF00000000}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7">
        <s v="Компьютер 486-66"/>
        <s v="Компьютер P5-100"/>
        <s v="Компьютер P5-66"/>
        <s v="Монитор 14&quot;"/>
        <s v="Принтер лазерный ОХ"/>
        <s v="Принтер лазерный ПХ"/>
        <s v="Принтер струйный Ц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40" count="5">
        <n v="10"/>
        <n v="15"/>
        <n v="20"/>
        <n v="30"/>
        <n v="4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  <x15:cachedUniqueName index="3" name="[Диапазон].[Количество].&amp;[30]"/>
            <x15:cachedUniqueName index="4" name="[Диапазон].[Количество].&amp;[4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226.879578703702" backgroundQuery="1" createdVersion="6" refreshedVersion="8" minRefreshableVersion="3" recordCount="0" supportSubquery="1" supportAdvancedDrill="1" xr:uid="{00000000-000A-0000-FFFF-FFFF01000000}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6">
        <s v="Компьютер 486-66"/>
        <s v="Компьютер 486-75"/>
        <s v="Компьютер P5-100"/>
        <s v="Монитор 15&quot;"/>
        <s v="Монитор 17&quot;"/>
        <s v="Принтер лазерный ЧБ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20" count="3">
        <n v="10"/>
        <n v="15"/>
        <n v="2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5229.959471643517" createdVersion="6" refreshedVersion="8" minRefreshableVersion="3" recordCount="14" xr:uid="{00000000-000A-0000-FFFF-FFFF02000000}">
  <cacheSource type="worksheet">
    <worksheetSource ref="A3:L17" sheet="Заказы"/>
  </cacheSource>
  <cacheFields count="12">
    <cacheField name="Месяц" numFmtId="0">
      <sharedItems/>
    </cacheField>
    <cacheField name="Дата" numFmtId="14">
      <sharedItems containsSemiMixedTypes="0" containsNonDate="0" containsDate="1" containsString="0" minDate="1996-01-02T00:00:00" maxDate="1996-02-24T00:00:00" count="11">
        <d v="1996-01-02T00:00:00"/>
        <d v="1996-01-13T00:00:00"/>
        <d v="1996-01-17T00:00:00"/>
        <d v="1996-01-20T00:00:00"/>
        <d v="1996-01-26T00:00:00"/>
        <d v="1996-02-02T00:00:00"/>
        <d v="1996-02-10T00:00:00"/>
        <d v="1996-02-15T00:00:00"/>
        <d v="1996-02-16T00:00:00"/>
        <d v="1996-02-21T00:00:00"/>
        <d v="1996-02-23T00:00:00"/>
      </sharedItems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/>
    </cacheField>
    <cacheField name="Количество" numFmtId="0">
      <sharedItems containsSemiMixedTypes="0" containsString="0" containsNumber="1" containsInteger="1" minValue="10" maxValue="40"/>
    </cacheField>
    <cacheField name="Цена за единицу" numFmtId="165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 count="10">
        <s v="Лад ОАО"/>
        <s v="Плата ОАО"/>
        <s v="Старт ОАО"/>
        <s v="Ворлд ЛТД"/>
        <s v="Память ООО"/>
        <s v="Диск ООО"/>
        <s v="Корпус ОАО"/>
        <s v="Новь ЧП"/>
        <s v="Финиш ООО"/>
        <s v="Монитор ЗАО"/>
      </sharedItems>
    </cacheField>
    <cacheField name="Сумма заказа" numFmtId="165">
      <sharedItems containsSemiMixedTypes="0" containsString="0" containsNumber="1" containsInteger="1" minValue="43810" maxValue="585000"/>
    </cacheField>
    <cacheField name="Скидка (%)" numFmtId="9">
      <sharedItems containsSemiMixedTypes="0" containsString="0" containsNumber="1" minValue="0" maxValue="0.05"/>
    </cacheField>
    <cacheField name="Уплачено" numFmtId="165">
      <sharedItems containsSemiMixedTypes="0" containsString="0" containsNumber="1" minValue="42933.8" maxValue="5557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5229.9610875" createdVersion="6" refreshedVersion="8" minRefreshableVersion="3" recordCount="14" xr:uid="{00000000-000A-0000-FFFF-FFFF03000000}">
  <cacheSource type="worksheet">
    <worksheetSource ref="A3:J17" sheet="Заказы"/>
  </cacheSource>
  <cacheFields count="10">
    <cacheField name="Месяц" numFmtId="0">
      <sharedItems count="2">
        <s v="Январь"/>
        <s v="Февраль"/>
      </sharedItems>
    </cacheField>
    <cacheField name="Дата" numFmtId="14">
      <sharedItems containsSemiMixedTypes="0" containsNonDate="0" containsDate="1" containsString="0" minDate="1996-01-02T00:00:00" maxDate="1996-02-24T00:00:00"/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 count="11">
        <s v="Компьютер P5-100"/>
        <s v="Принтер лазерный ПХ"/>
        <s v="Компьютер P5-66"/>
        <s v="Принтер лазерный ОХ"/>
        <s v="Компьютер 486-66"/>
        <s v="Монитор 14&quot;"/>
        <s v="Принтер струйный Ц"/>
        <s v="Компьютер 486-75"/>
        <s v="Принтер лазерный ЧБ"/>
        <s v="Монитор 15&quot;"/>
        <s v="Монитор 17&quot;"/>
      </sharedItems>
    </cacheField>
    <cacheField name="Количество" numFmtId="0">
      <sharedItems containsSemiMixedTypes="0" containsString="0" containsNumber="1" containsInteger="1" minValue="10" maxValue="40" count="5">
        <n v="10"/>
        <n v="20"/>
        <n v="15"/>
        <n v="30"/>
        <n v="40"/>
      </sharedItems>
    </cacheField>
    <cacheField name="Цена за единицу" numFmtId="165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/>
    </cacheField>
    <cacheField name="Сумма заказа" numFmtId="165">
      <sharedItems containsSemiMixedTypes="0" containsString="0" containsNumber="1" containsInteger="1" minValue="43810" maxValue="58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Январь"/>
    <x v="0"/>
    <n v="9601"/>
    <n v="102"/>
    <s v="Компьютер P5-100"/>
    <n v="10"/>
    <n v="19500"/>
    <n v="2002"/>
    <x v="0"/>
    <n v="195000"/>
    <n v="0.05"/>
    <n v="185250"/>
  </r>
  <r>
    <s v="Январь"/>
    <x v="0"/>
    <n v="9602"/>
    <n v="202"/>
    <s v="Принтер лазерный ПХ"/>
    <n v="20"/>
    <n v="9620"/>
    <n v="2001"/>
    <x v="1"/>
    <n v="192400"/>
    <n v="0.05"/>
    <n v="182780"/>
  </r>
  <r>
    <s v="Январь"/>
    <x v="1"/>
    <n v="9603"/>
    <n v="101"/>
    <s v="Компьютер P5-66"/>
    <n v="15"/>
    <n v="12987"/>
    <n v="2201"/>
    <x v="2"/>
    <n v="194805"/>
    <n v="0"/>
    <n v="194805"/>
  </r>
  <r>
    <s v="Январь"/>
    <x v="1"/>
    <n v="9604"/>
    <n v="201"/>
    <s v="Принтер лазерный ОХ"/>
    <n v="30"/>
    <n v="16900"/>
    <n v="3201"/>
    <x v="3"/>
    <n v="507000"/>
    <n v="0.05"/>
    <n v="481650"/>
  </r>
  <r>
    <s v="Январь"/>
    <x v="2"/>
    <n v="9605"/>
    <n v="103"/>
    <s v="Компьютер 486-66"/>
    <n v="10"/>
    <n v="10140"/>
    <n v="2302"/>
    <x v="4"/>
    <n v="101400"/>
    <n v="0"/>
    <n v="101400"/>
  </r>
  <r>
    <s v="Январь"/>
    <x v="3"/>
    <n v="9606"/>
    <n v="301"/>
    <s v="Монитор 14&quot;"/>
    <n v="30"/>
    <n v="2860"/>
    <n v="2402"/>
    <x v="5"/>
    <n v="85800"/>
    <n v="0.02"/>
    <n v="84084"/>
  </r>
  <r>
    <s v="Январь"/>
    <x v="3"/>
    <n v="9607"/>
    <n v="102"/>
    <s v="Компьютер P5-100"/>
    <n v="30"/>
    <n v="19500"/>
    <n v="2002"/>
    <x v="0"/>
    <n v="585000"/>
    <n v="0.05"/>
    <n v="555750"/>
  </r>
  <r>
    <s v="Январь"/>
    <x v="4"/>
    <n v="9608"/>
    <n v="204"/>
    <s v="Принтер струйный Ц"/>
    <n v="40"/>
    <n v="5980"/>
    <n v="3202"/>
    <x v="6"/>
    <n v="239200"/>
    <n v="0.02"/>
    <n v="234416"/>
  </r>
  <r>
    <s v="Февраль"/>
    <x v="5"/>
    <n v="9609"/>
    <n v="104"/>
    <s v="Компьютер 486-75"/>
    <n v="15"/>
    <n v="10647"/>
    <n v="3203"/>
    <x v="7"/>
    <n v="159705"/>
    <n v="0"/>
    <n v="159705"/>
  </r>
  <r>
    <s v="Февраль"/>
    <x v="6"/>
    <n v="9610"/>
    <n v="203"/>
    <s v="Принтер лазерный ЧБ"/>
    <n v="20"/>
    <n v="3887"/>
    <n v="3202"/>
    <x v="6"/>
    <n v="77740"/>
    <n v="0.02"/>
    <n v="76185.2"/>
  </r>
  <r>
    <s v="Февраль"/>
    <x v="7"/>
    <n v="9611"/>
    <n v="302"/>
    <s v="Монитор 15&quot;"/>
    <n v="10"/>
    <n v="4381"/>
    <n v="2402"/>
    <x v="5"/>
    <n v="43810"/>
    <n v="0.02"/>
    <n v="42933.8"/>
  </r>
  <r>
    <s v="Февраль"/>
    <x v="8"/>
    <n v="9612"/>
    <n v="304"/>
    <s v="Монитор 17&quot;"/>
    <n v="10"/>
    <n v="6734"/>
    <n v="3103"/>
    <x v="8"/>
    <n v="67340"/>
    <n v="0.05"/>
    <n v="63973"/>
  </r>
  <r>
    <s v="Февраль"/>
    <x v="9"/>
    <n v="9613"/>
    <n v="102"/>
    <s v="Компьютер P5-100"/>
    <n v="20"/>
    <n v="19500"/>
    <n v="2002"/>
    <x v="0"/>
    <n v="390000"/>
    <n v="0.05"/>
    <n v="370500"/>
  </r>
  <r>
    <s v="Февраль"/>
    <x v="10"/>
    <n v="9614"/>
    <n v="103"/>
    <s v="Компьютер 486-66"/>
    <n v="10"/>
    <n v="10140"/>
    <n v="3102"/>
    <x v="9"/>
    <n v="101400"/>
    <n v="0.02"/>
    <n v="993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d v="1996-01-02T00:00:00"/>
    <n v="9601"/>
    <n v="102"/>
    <x v="0"/>
    <x v="0"/>
    <n v="19500"/>
    <n v="2002"/>
    <s v="Лад ОАО"/>
    <n v="195000"/>
  </r>
  <r>
    <x v="0"/>
    <d v="1996-01-02T00:00:00"/>
    <n v="9602"/>
    <n v="202"/>
    <x v="1"/>
    <x v="1"/>
    <n v="9620"/>
    <n v="2001"/>
    <s v="Плата ОАО"/>
    <n v="192400"/>
  </r>
  <r>
    <x v="0"/>
    <d v="1996-01-13T00:00:00"/>
    <n v="9603"/>
    <n v="101"/>
    <x v="2"/>
    <x v="2"/>
    <n v="12987"/>
    <n v="2201"/>
    <s v="Старт ОАО"/>
    <n v="194805"/>
  </r>
  <r>
    <x v="0"/>
    <d v="1996-01-13T00:00:00"/>
    <n v="9604"/>
    <n v="201"/>
    <x v="3"/>
    <x v="3"/>
    <n v="16900"/>
    <n v="3201"/>
    <s v="Ворлд ЛТД"/>
    <n v="507000"/>
  </r>
  <r>
    <x v="0"/>
    <d v="1996-01-17T00:00:00"/>
    <n v="9605"/>
    <n v="103"/>
    <x v="4"/>
    <x v="0"/>
    <n v="10140"/>
    <n v="2302"/>
    <s v="Память ООО"/>
    <n v="101400"/>
  </r>
  <r>
    <x v="0"/>
    <d v="1996-01-20T00:00:00"/>
    <n v="9606"/>
    <n v="301"/>
    <x v="5"/>
    <x v="3"/>
    <n v="2860"/>
    <n v="2402"/>
    <s v="Диск ООО"/>
    <n v="85800"/>
  </r>
  <r>
    <x v="0"/>
    <d v="1996-01-20T00:00:00"/>
    <n v="9607"/>
    <n v="102"/>
    <x v="0"/>
    <x v="3"/>
    <n v="19500"/>
    <n v="2002"/>
    <s v="Лад ОАО"/>
    <n v="585000"/>
  </r>
  <r>
    <x v="0"/>
    <d v="1996-01-26T00:00:00"/>
    <n v="9608"/>
    <n v="204"/>
    <x v="6"/>
    <x v="4"/>
    <n v="5980"/>
    <n v="3202"/>
    <s v="Корпус ОАО"/>
    <n v="239200"/>
  </r>
  <r>
    <x v="1"/>
    <d v="1996-02-02T00:00:00"/>
    <n v="9609"/>
    <n v="104"/>
    <x v="7"/>
    <x v="2"/>
    <n v="10647"/>
    <n v="3203"/>
    <s v="Новь ЧП"/>
    <n v="159705"/>
  </r>
  <r>
    <x v="1"/>
    <d v="1996-02-10T00:00:00"/>
    <n v="9610"/>
    <n v="203"/>
    <x v="8"/>
    <x v="1"/>
    <n v="3887"/>
    <n v="3202"/>
    <s v="Корпус ОАО"/>
    <n v="77740"/>
  </r>
  <r>
    <x v="1"/>
    <d v="1996-02-15T00:00:00"/>
    <n v="9611"/>
    <n v="302"/>
    <x v="9"/>
    <x v="0"/>
    <n v="4381"/>
    <n v="2402"/>
    <s v="Диск ООО"/>
    <n v="43810"/>
  </r>
  <r>
    <x v="1"/>
    <d v="1996-02-16T00:00:00"/>
    <n v="9612"/>
    <n v="304"/>
    <x v="10"/>
    <x v="0"/>
    <n v="6734"/>
    <n v="3103"/>
    <s v="Финиш ООО"/>
    <n v="67340"/>
  </r>
  <r>
    <x v="1"/>
    <d v="1996-02-21T00:00:00"/>
    <n v="9613"/>
    <n v="102"/>
    <x v="0"/>
    <x v="1"/>
    <n v="19500"/>
    <n v="2002"/>
    <s v="Лад ОАО"/>
    <n v="390000"/>
  </r>
  <r>
    <x v="1"/>
    <d v="1996-02-23T00:00:00"/>
    <n v="9614"/>
    <n v="103"/>
    <x v="4"/>
    <x v="0"/>
    <n v="10140"/>
    <n v="3102"/>
    <s v="Монитор ЗАО"/>
    <n v="101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 таблица2" cacheId="3" applyNumberFormats="0" applyBorderFormats="0" applyFontFormats="0" applyPatternFormats="0" applyAlignmentFormats="0" applyWidthHeightFormats="1" dataCaption="Значения" updatedVersion="8" minRefreshableVersion="3" useAutoFormatting="1" rowGrandTotals="0" itemPrintTitles="1" createdVersion="6" indent="0" outline="1" outlineData="1" multipleFieldFilters="0" chartFormat="10">
  <location ref="A3:G15" firstHeaderRow="1" firstDataRow="2" firstDataCol="1" rowPageCount="1" colPageCount="1"/>
  <pivotFields count="10">
    <pivotField axis="axisPage" showAll="0" defaultSubtotal="0">
      <items count="2">
        <item x="0"/>
        <item x="1"/>
      </items>
    </pivotField>
    <pivotField numFmtId="14" showAll="0" defaultSubtotal="0"/>
    <pivotField showAll="0" defaultSubtotal="0"/>
    <pivotField showAll="0" defaultSubtotal="0"/>
    <pivotField axis="axisRow" showAll="0" defaultSubtotal="0">
      <items count="11">
        <item x="4"/>
        <item x="7"/>
        <item x="0"/>
        <item x="2"/>
        <item x="5"/>
        <item x="9"/>
        <item x="3"/>
        <item x="1"/>
        <item x="8"/>
        <item x="6"/>
        <item x="10"/>
      </items>
    </pivotField>
    <pivotField name="Количество" axis="axisCol" showAll="0" sortType="ascending" defaultSubtotal="0">
      <items count="5">
        <item x="0"/>
        <item x="2"/>
        <item x="1"/>
        <item x="3"/>
        <item x="4"/>
      </items>
    </pivotField>
    <pivotField showAll="0" defaultSubtotal="0"/>
    <pivotField showAll="0" defaultSubtotal="0"/>
    <pivotField showAll="0" defaultSubtotal="0"/>
    <pivotField dataField="1" showAll="0" defaultSubtota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Сумма по полю Сумма заказа" fld="9" baseField="0" baseItem="0" numFmtId="165"/>
  </dataFields>
  <formats count="11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4" type="button" dataOnly="0" labelOnly="1" outline="0" axis="axisRow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  <format dxfId="50">
      <pivotArea outline="0" collapsedLevelsAreSubtotals="1" fieldPosition="0"/>
    </format>
    <format dxfId="49">
      <pivotArea type="origin" dataOnly="0" labelOnly="1" outline="0" fieldPosition="0"/>
    </format>
    <format dxfId="48">
      <pivotArea field="5" type="button" dataOnly="0" labelOnly="1" outline="0" axis="axisCol" fieldPosition="0"/>
    </format>
    <format dxfId="47">
      <pivotArea dataOnly="0" labelOnly="1" grandCol="1" outline="0" fieldPosition="0"/>
    </format>
    <format dxfId="46">
      <pivotArea collapsedLevelsAreSubtotals="1" fieldPosition="0">
        <references count="2">
          <reference field="4" count="1">
            <x v="9"/>
          </reference>
          <reference field="5" count="1" selected="0">
            <x v="4"/>
          </reference>
        </references>
      </pivotArea>
    </format>
    <format dxfId="45">
      <pivotArea field="4" type="button" dataOnly="0" labelOnly="1" outline="0" axis="axisRow" fieldPosition="0"/>
    </format>
  </formats>
  <chartFormats count="2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67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chartFormat>
    <chartFormat chart="3" format="68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</references>
      </pivotArea>
    </chartFormat>
    <chartFormat chart="3" format="69">
      <pivotArea type="data" outline="0" fieldPosition="0">
        <references count="3">
          <reference field="4294967294" count="1" selected="0">
            <x v="0"/>
          </reference>
          <reference field="4" count="1" selected="0">
            <x v="10"/>
          </reference>
          <reference field="5" count="1" selected="0">
            <x v="0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7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3" format="72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74">
      <pivotArea type="data" outline="0" fieldPosition="0">
        <references count="3">
          <reference field="4294967294" count="1" selected="0">
            <x v="0"/>
          </reference>
          <reference field="4" count="1" selected="0">
            <x v="7"/>
          </reference>
          <reference field="5" count="1" selected="0">
            <x v="2"/>
          </reference>
        </references>
      </pivotArea>
    </chartFormat>
    <chartFormat chart="3" format="75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5" count="1" selected="0">
            <x v="2"/>
          </reference>
        </references>
      </pivotArea>
    </chartFormat>
    <chartFormat chart="3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77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</references>
      </pivotArea>
    </chartFormat>
    <chartFormat chart="3" format="8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4" count="1" selected="0">
            <x v="9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Сводная таблица1" cacheId="0" applyNumberFormats="0" applyBorderFormats="0" applyFontFormats="0" applyPatternFormats="0" applyAlignmentFormats="0" applyWidthHeightFormats="1" dataCaption="Значения" updatedVersion="8" minRefreshableVersion="3" useAutoFormatting="1" subtotalHiddenItems="1" rowGrandTotals="0" itemPrintTitles="1" createdVersion="6" indent="0" outline="1" outlineData="1" multipleFieldFilters="0">
  <location ref="A3:G11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 name="[Диапазон].[Месяц].&amp;[Январь]" cap="Январь"/>
  </pageFields>
  <dataFields count="1">
    <dataField name="Сумма по столбцу Сумма заказа" fld="0" baseField="0" baseItem="0" numFmtId="165"/>
  </dataFields>
  <formats count="12"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3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Col="1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3" type="button" dataOnly="0" labelOnly="1" outline="0" axis="axisCol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3" cacheId="1" applyNumberFormats="0" applyBorderFormats="0" applyFontFormats="0" applyPatternFormats="0" applyAlignmentFormats="0" applyWidthHeightFormats="1" dataCaption="Значения" updatedVersion="8" minRefreshableVersion="3" useAutoFormatting="1" rowGrandTotals="0" itemPrintTitles="1" createdVersion="6" indent="0" outline="1" outlineData="1" multipleFieldFilters="0">
  <location ref="A3:E10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2" hier="0" name="[Диапазон].[Месяц].&amp;[Февраль]" cap="Февраль"/>
  </pageFields>
  <dataFields count="1">
    <dataField name="Сумма по столбцу Сумма заказа" fld="0" baseField="0" baseItem="0" numFmtId="165"/>
  </dataFields>
  <formats count="24">
    <format dxfId="32">
      <pivotArea type="all" dataOnly="0" outline="0" fieldPosition="0"/>
    </format>
    <format dxfId="31">
      <pivotArea outline="0" collapsedLevelsAreSubtotals="1" fieldPosition="0"/>
    </format>
    <format dxfId="30">
      <pivotArea type="origin" dataOnly="0" labelOnly="1" outline="0" fieldPosition="0"/>
    </format>
    <format dxfId="29">
      <pivotArea field="3" type="button" dataOnly="0" labelOnly="1" outline="0" axis="axisCol" fieldPosition="0"/>
    </format>
    <format dxfId="28">
      <pivotArea type="topRight" dataOnly="0" labelOnly="1" outline="0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3" count="0"/>
        </references>
      </pivotArea>
    </format>
    <format dxfId="24">
      <pivotArea dataOnly="0" labelOnly="1" grandCol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3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fieldPosition="0">
        <references count="1">
          <reference field="3" count="0"/>
        </references>
      </pivotArea>
    </format>
    <format dxfId="15">
      <pivotArea dataOnly="0" labelOnly="1" grandCol="1" outline="0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3" count="0"/>
        </references>
      </pivotArea>
    </format>
    <format dxfId="9">
      <pivotArea dataOnly="0" labelOnly="1" grandCol="1" outline="0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Сводная таблица14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6" indent="0" outline="1" outlineData="1" multipleFieldFilters="0">
  <location ref="A1:M13" firstHeaderRow="1" firstDataRow="2" firstDataCol="1"/>
  <pivotFields count="12">
    <pivotField showAll="0" defaultSubtotal="0"/>
    <pivotField axis="axisCol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3"/>
        <item x="5"/>
        <item x="6"/>
        <item x="0"/>
        <item x="9"/>
        <item x="7"/>
        <item x="4"/>
        <item x="1"/>
        <item x="2"/>
        <item x="8"/>
        <item t="default"/>
      </items>
    </pivotField>
    <pivotField dataField="1" showAll="0"/>
    <pivotField numFmtId="10" showAll="0"/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Сумма по полю Сумма заказа" fld="9" baseField="0" baseItem="0" numFmtId="165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1" type="button" dataOnly="0" labelOnly="1" outline="0" axis="axisCol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grandCol="1" outline="0" fieldPosition="0"/>
    </format>
    <format dxfId="1">
      <pivotArea field="8" type="button" dataOnly="0" labelOnly="1" outline="0" axis="axisRow" fieldPosition="0"/>
    </format>
    <format dxfId="0">
      <pivotArea dataOnly="0" labelOnly="1" fieldPosition="0">
        <references count="1">
          <reference field="1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25"/>
  <sheetViews>
    <sheetView view="pageLayout" zoomScaleNormal="100" workbookViewId="0">
      <selection activeCell="F7" sqref="F7"/>
    </sheetView>
  </sheetViews>
  <sheetFormatPr defaultRowHeight="14.4" x14ac:dyDescent="0.3"/>
  <cols>
    <col min="2" max="2" width="20" customWidth="1"/>
    <col min="3" max="3" width="10.33203125" bestFit="1" customWidth="1"/>
    <col min="4" max="4" width="11.33203125" bestFit="1" customWidth="1"/>
  </cols>
  <sheetData>
    <row r="1" spans="1:4" x14ac:dyDescent="0.3">
      <c r="A1" s="70" t="s">
        <v>115</v>
      </c>
      <c r="B1" s="70"/>
      <c r="C1" s="70"/>
      <c r="D1" s="70"/>
    </row>
    <row r="2" spans="1:4" x14ac:dyDescent="0.3">
      <c r="A2" s="71" t="s">
        <v>121</v>
      </c>
      <c r="B2" s="71"/>
      <c r="C2" s="71"/>
      <c r="D2" s="71"/>
    </row>
    <row r="3" spans="1:4" ht="30" customHeight="1" x14ac:dyDescent="0.3">
      <c r="A3" s="6" t="s">
        <v>0</v>
      </c>
      <c r="B3" s="7" t="s">
        <v>1</v>
      </c>
      <c r="C3" s="6" t="s">
        <v>2</v>
      </c>
      <c r="D3" s="6" t="s">
        <v>2</v>
      </c>
    </row>
    <row r="4" spans="1:4" x14ac:dyDescent="0.3">
      <c r="A4" s="2">
        <v>101</v>
      </c>
      <c r="B4" s="1" t="s">
        <v>3</v>
      </c>
      <c r="C4" s="3">
        <v>999</v>
      </c>
      <c r="D4" s="4">
        <f>C4*C$15</f>
        <v>12987</v>
      </c>
    </row>
    <row r="5" spans="1:4" x14ac:dyDescent="0.3">
      <c r="A5" s="2">
        <v>102</v>
      </c>
      <c r="B5" s="1" t="s">
        <v>4</v>
      </c>
      <c r="C5" s="3">
        <v>1500</v>
      </c>
      <c r="D5" s="4">
        <f t="shared" ref="D5:D14" si="0">C5*C$15</f>
        <v>19500</v>
      </c>
    </row>
    <row r="6" spans="1:4" x14ac:dyDescent="0.3">
      <c r="A6" s="2">
        <v>103</v>
      </c>
      <c r="B6" s="1" t="s">
        <v>5</v>
      </c>
      <c r="C6" s="3">
        <v>780</v>
      </c>
      <c r="D6" s="4">
        <f t="shared" si="0"/>
        <v>10140</v>
      </c>
    </row>
    <row r="7" spans="1:4" x14ac:dyDescent="0.3">
      <c r="A7" s="2">
        <v>104</v>
      </c>
      <c r="B7" s="1" t="s">
        <v>6</v>
      </c>
      <c r="C7" s="3">
        <v>819</v>
      </c>
      <c r="D7" s="4">
        <f t="shared" si="0"/>
        <v>10647</v>
      </c>
    </row>
    <row r="8" spans="1:4" x14ac:dyDescent="0.3">
      <c r="A8" s="2">
        <v>201</v>
      </c>
      <c r="B8" s="1" t="s">
        <v>7</v>
      </c>
      <c r="C8" s="3">
        <v>1300</v>
      </c>
      <c r="D8" s="4">
        <f t="shared" si="0"/>
        <v>16900</v>
      </c>
    </row>
    <row r="9" spans="1:4" x14ac:dyDescent="0.3">
      <c r="A9" s="2">
        <v>202</v>
      </c>
      <c r="B9" s="1" t="s">
        <v>8</v>
      </c>
      <c r="C9" s="3">
        <v>740</v>
      </c>
      <c r="D9" s="4">
        <f t="shared" si="0"/>
        <v>9620</v>
      </c>
    </row>
    <row r="10" spans="1:4" x14ac:dyDescent="0.3">
      <c r="A10" s="2">
        <v>203</v>
      </c>
      <c r="B10" s="1" t="s">
        <v>9</v>
      </c>
      <c r="C10" s="3">
        <v>299</v>
      </c>
      <c r="D10" s="4">
        <f t="shared" si="0"/>
        <v>3887</v>
      </c>
    </row>
    <row r="11" spans="1:4" x14ac:dyDescent="0.3">
      <c r="A11" s="2">
        <v>204</v>
      </c>
      <c r="B11" s="1" t="s">
        <v>10</v>
      </c>
      <c r="C11" s="3">
        <v>460</v>
      </c>
      <c r="D11" s="4">
        <f t="shared" si="0"/>
        <v>5980</v>
      </c>
    </row>
    <row r="12" spans="1:4" x14ac:dyDescent="0.3">
      <c r="A12" s="2">
        <v>301</v>
      </c>
      <c r="B12" s="1" t="s">
        <v>11</v>
      </c>
      <c r="C12" s="3">
        <v>220</v>
      </c>
      <c r="D12" s="4">
        <f t="shared" si="0"/>
        <v>2860</v>
      </c>
    </row>
    <row r="13" spans="1:4" x14ac:dyDescent="0.3">
      <c r="A13" s="2">
        <v>302</v>
      </c>
      <c r="B13" s="1" t="s">
        <v>13</v>
      </c>
      <c r="C13" s="3">
        <v>337</v>
      </c>
      <c r="D13" s="4">
        <f t="shared" si="0"/>
        <v>4381</v>
      </c>
    </row>
    <row r="14" spans="1:4" x14ac:dyDescent="0.3">
      <c r="A14" s="2">
        <v>304</v>
      </c>
      <c r="B14" s="1" t="s">
        <v>12</v>
      </c>
      <c r="C14" s="3">
        <v>518</v>
      </c>
      <c r="D14" s="4">
        <f t="shared" si="0"/>
        <v>6734</v>
      </c>
    </row>
    <row r="15" spans="1:4" x14ac:dyDescent="0.3">
      <c r="A15" s="68" t="s">
        <v>14</v>
      </c>
      <c r="B15" s="69"/>
      <c r="C15" s="15">
        <v>13</v>
      </c>
      <c r="D15" s="5"/>
    </row>
    <row r="25" spans="1:1" x14ac:dyDescent="0.3">
      <c r="A25" s="13"/>
    </row>
  </sheetData>
  <mergeCells count="3">
    <mergeCell ref="A15:B15"/>
    <mergeCell ref="A1:D1"/>
    <mergeCell ref="A2:D2"/>
  </mergeCells>
  <printOptions horizontalCentered="1" verticalCentered="1"/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Y22"/>
  <sheetViews>
    <sheetView view="pageLayout" zoomScaleNormal="100" workbookViewId="0">
      <selection activeCell="H5" sqref="H5"/>
    </sheetView>
  </sheetViews>
  <sheetFormatPr defaultRowHeight="14.4" x14ac:dyDescent="0.3"/>
  <cols>
    <col min="1" max="1" width="13.33203125" customWidth="1"/>
    <col min="2" max="2" width="5" customWidth="1"/>
    <col min="3" max="3" width="16.33203125" customWidth="1"/>
    <col min="4" max="4" width="8" customWidth="1"/>
    <col min="5" max="5" width="8.33203125" customWidth="1"/>
    <col min="6" max="6" width="9.88671875" customWidth="1"/>
    <col min="7" max="8" width="10" customWidth="1"/>
    <col min="9" max="9" width="8.5546875" customWidth="1"/>
  </cols>
  <sheetData>
    <row r="1" spans="1:25" x14ac:dyDescent="0.3">
      <c r="A1" s="70" t="s">
        <v>114</v>
      </c>
      <c r="B1" s="70"/>
      <c r="C1" s="70"/>
      <c r="D1" s="70"/>
    </row>
    <row r="2" spans="1:25" x14ac:dyDescent="0.3">
      <c r="A2" s="71" t="s">
        <v>122</v>
      </c>
      <c r="B2" s="71"/>
      <c r="C2" s="71"/>
      <c r="D2" s="71"/>
    </row>
    <row r="3" spans="1:25" ht="33" customHeight="1" x14ac:dyDescent="0.3">
      <c r="A3" s="6" t="s">
        <v>15</v>
      </c>
      <c r="B3" s="6" t="s">
        <v>16</v>
      </c>
      <c r="C3" s="7" t="s">
        <v>17</v>
      </c>
      <c r="D3" s="6" t="s">
        <v>18</v>
      </c>
      <c r="E3" s="6" t="s">
        <v>19</v>
      </c>
      <c r="F3" s="6" t="s">
        <v>20</v>
      </c>
      <c r="G3" s="6" t="s">
        <v>21</v>
      </c>
      <c r="H3" s="6" t="s">
        <v>22</v>
      </c>
      <c r="I3" s="7" t="s">
        <v>23</v>
      </c>
    </row>
    <row r="4" spans="1:25" x14ac:dyDescent="0.3">
      <c r="A4" s="16" t="s">
        <v>33</v>
      </c>
      <c r="B4" s="16">
        <v>2201</v>
      </c>
      <c r="C4" s="16" t="s">
        <v>34</v>
      </c>
      <c r="D4" s="16">
        <v>252001</v>
      </c>
      <c r="E4" s="16" t="s">
        <v>26</v>
      </c>
      <c r="F4" s="16" t="s">
        <v>35</v>
      </c>
      <c r="G4" s="16" t="s">
        <v>36</v>
      </c>
      <c r="H4" s="16" t="s">
        <v>36</v>
      </c>
      <c r="I4" s="57">
        <v>0</v>
      </c>
    </row>
    <row r="5" spans="1:25" x14ac:dyDescent="0.3">
      <c r="A5" s="1" t="s">
        <v>24</v>
      </c>
      <c r="B5" s="1">
        <v>2001</v>
      </c>
      <c r="C5" s="1" t="s">
        <v>25</v>
      </c>
      <c r="D5" s="1">
        <v>252001</v>
      </c>
      <c r="E5" s="1" t="s">
        <v>26</v>
      </c>
      <c r="F5" s="1" t="s">
        <v>27</v>
      </c>
      <c r="G5" s="1" t="s">
        <v>28</v>
      </c>
      <c r="H5" s="1" t="s">
        <v>28</v>
      </c>
      <c r="I5" s="58">
        <v>0.05</v>
      </c>
    </row>
    <row r="6" spans="1:25" x14ac:dyDescent="0.3">
      <c r="A6" s="1" t="s">
        <v>29</v>
      </c>
      <c r="B6" s="1">
        <v>2002</v>
      </c>
      <c r="C6" s="1" t="s">
        <v>30</v>
      </c>
      <c r="D6" s="1">
        <v>252001</v>
      </c>
      <c r="E6" s="1" t="s">
        <v>26</v>
      </c>
      <c r="F6" s="1" t="s">
        <v>31</v>
      </c>
      <c r="G6" s="1" t="s">
        <v>32</v>
      </c>
      <c r="H6" s="1" t="s">
        <v>32</v>
      </c>
      <c r="I6" s="58">
        <v>0.05</v>
      </c>
    </row>
    <row r="7" spans="1:25" x14ac:dyDescent="0.3">
      <c r="A7" s="1" t="s">
        <v>49</v>
      </c>
      <c r="B7" s="1">
        <v>2401</v>
      </c>
      <c r="C7" s="1" t="s">
        <v>50</v>
      </c>
      <c r="D7" s="1">
        <v>252002</v>
      </c>
      <c r="E7" s="1" t="s">
        <v>26</v>
      </c>
      <c r="F7" s="1" t="s">
        <v>51</v>
      </c>
      <c r="G7" s="1" t="s">
        <v>52</v>
      </c>
      <c r="H7" s="1" t="s">
        <v>52</v>
      </c>
      <c r="I7" s="58">
        <v>0.02</v>
      </c>
    </row>
    <row r="8" spans="1:25" x14ac:dyDescent="0.3">
      <c r="A8" s="1" t="s">
        <v>77</v>
      </c>
      <c r="B8" s="1">
        <v>3202</v>
      </c>
      <c r="C8" s="1" t="s">
        <v>78</v>
      </c>
      <c r="D8" s="1">
        <v>252034</v>
      </c>
      <c r="E8" s="1" t="s">
        <v>26</v>
      </c>
      <c r="F8" s="1" t="s">
        <v>79</v>
      </c>
      <c r="G8" s="1" t="s">
        <v>80</v>
      </c>
      <c r="H8" s="1" t="s">
        <v>81</v>
      </c>
      <c r="I8" s="58">
        <v>0.02</v>
      </c>
    </row>
    <row r="9" spans="1:25" ht="13.5" customHeight="1" x14ac:dyDescent="0.3">
      <c r="A9" s="1" t="s">
        <v>72</v>
      </c>
      <c r="B9" s="1">
        <v>3201</v>
      </c>
      <c r="C9" s="1" t="s">
        <v>73</v>
      </c>
      <c r="D9" s="1">
        <v>252045</v>
      </c>
      <c r="E9" s="1" t="s">
        <v>26</v>
      </c>
      <c r="F9" s="1" t="s">
        <v>74</v>
      </c>
      <c r="G9" s="1" t="s">
        <v>75</v>
      </c>
      <c r="H9" s="1" t="s">
        <v>76</v>
      </c>
      <c r="I9" s="58">
        <v>0.05</v>
      </c>
      <c r="Q9" s="8"/>
      <c r="R9" s="8"/>
      <c r="S9" s="9"/>
      <c r="T9" s="8"/>
      <c r="U9" s="8"/>
      <c r="V9" s="8"/>
      <c r="W9" s="8"/>
      <c r="X9" s="8"/>
      <c r="Y9" s="9"/>
    </row>
    <row r="10" spans="1:25" x14ac:dyDescent="0.3">
      <c r="A10" s="1" t="s">
        <v>63</v>
      </c>
      <c r="B10" s="1">
        <v>3102</v>
      </c>
      <c r="C10" s="1" t="s">
        <v>64</v>
      </c>
      <c r="D10" s="1">
        <v>253040</v>
      </c>
      <c r="E10" s="1" t="s">
        <v>26</v>
      </c>
      <c r="F10" s="1" t="s">
        <v>65</v>
      </c>
      <c r="G10" s="1" t="s">
        <v>66</v>
      </c>
      <c r="H10" s="1" t="s">
        <v>67</v>
      </c>
      <c r="I10" s="58">
        <v>0.02</v>
      </c>
    </row>
    <row r="11" spans="1:25" x14ac:dyDescent="0.3">
      <c r="A11" s="1" t="s">
        <v>37</v>
      </c>
      <c r="B11" s="1">
        <v>2301</v>
      </c>
      <c r="C11" s="1" t="s">
        <v>38</v>
      </c>
      <c r="D11" s="1">
        <v>240010</v>
      </c>
      <c r="E11" s="1" t="s">
        <v>39</v>
      </c>
      <c r="F11" s="1" t="s">
        <v>40</v>
      </c>
      <c r="G11" s="1" t="s">
        <v>41</v>
      </c>
      <c r="H11" s="1" t="s">
        <v>42</v>
      </c>
      <c r="I11" s="58">
        <v>0</v>
      </c>
    </row>
    <row r="12" spans="1:25" x14ac:dyDescent="0.3">
      <c r="A12" s="1" t="s">
        <v>82</v>
      </c>
      <c r="B12" s="1">
        <v>3203</v>
      </c>
      <c r="C12" s="1" t="s">
        <v>83</v>
      </c>
      <c r="D12" s="1">
        <v>240011</v>
      </c>
      <c r="E12" s="1" t="s">
        <v>39</v>
      </c>
      <c r="F12" s="1" t="s">
        <v>84</v>
      </c>
      <c r="G12" s="1" t="s">
        <v>85</v>
      </c>
      <c r="H12" s="1" t="s">
        <v>86</v>
      </c>
      <c r="I12" s="58">
        <v>0</v>
      </c>
    </row>
    <row r="13" spans="1:25" x14ac:dyDescent="0.3">
      <c r="A13" s="1" t="s">
        <v>68</v>
      </c>
      <c r="B13" s="1">
        <v>3103</v>
      </c>
      <c r="C13" s="1" t="s">
        <v>69</v>
      </c>
      <c r="D13" s="1">
        <v>300001</v>
      </c>
      <c r="E13" s="1" t="s">
        <v>45</v>
      </c>
      <c r="F13" s="1" t="s">
        <v>70</v>
      </c>
      <c r="G13" s="1" t="s">
        <v>71</v>
      </c>
      <c r="H13" s="1" t="s">
        <v>71</v>
      </c>
      <c r="I13" s="58">
        <v>0.05</v>
      </c>
    </row>
    <row r="14" spans="1:25" x14ac:dyDescent="0.3">
      <c r="A14" s="1" t="s">
        <v>43</v>
      </c>
      <c r="B14" s="1">
        <v>2302</v>
      </c>
      <c r="C14" s="1" t="s">
        <v>44</v>
      </c>
      <c r="D14" s="1">
        <v>300020</v>
      </c>
      <c r="E14" s="1" t="s">
        <v>45</v>
      </c>
      <c r="F14" s="1" t="s">
        <v>46</v>
      </c>
      <c r="G14" s="1" t="s">
        <v>47</v>
      </c>
      <c r="H14" s="1" t="s">
        <v>48</v>
      </c>
      <c r="I14" s="58">
        <v>0</v>
      </c>
    </row>
    <row r="15" spans="1:25" x14ac:dyDescent="0.3">
      <c r="A15" s="1" t="s">
        <v>58</v>
      </c>
      <c r="B15" s="1">
        <v>3101</v>
      </c>
      <c r="C15" s="1" t="s">
        <v>59</v>
      </c>
      <c r="D15" s="1">
        <v>270010</v>
      </c>
      <c r="E15" s="1" t="s">
        <v>60</v>
      </c>
      <c r="F15" s="1" t="s">
        <v>61</v>
      </c>
      <c r="G15" s="1" t="s">
        <v>62</v>
      </c>
      <c r="H15" s="1" t="s">
        <v>62</v>
      </c>
      <c r="I15" s="58">
        <v>0.02</v>
      </c>
    </row>
    <row r="16" spans="1:25" x14ac:dyDescent="0.3">
      <c r="A16" s="17" t="s">
        <v>53</v>
      </c>
      <c r="B16" s="17">
        <v>2402</v>
      </c>
      <c r="C16" s="17" t="s">
        <v>54</v>
      </c>
      <c r="D16" s="17">
        <v>290000</v>
      </c>
      <c r="E16" s="17" t="s">
        <v>55</v>
      </c>
      <c r="F16" s="17" t="s">
        <v>56</v>
      </c>
      <c r="G16" s="17" t="s">
        <v>57</v>
      </c>
      <c r="H16" s="17" t="s">
        <v>57</v>
      </c>
      <c r="I16" s="59">
        <v>0.02</v>
      </c>
    </row>
    <row r="21" spans="1:1" x14ac:dyDescent="0.3">
      <c r="A21" s="18"/>
    </row>
    <row r="22" spans="1:1" x14ac:dyDescent="0.3">
      <c r="A22" s="18"/>
    </row>
  </sheetData>
  <mergeCells count="2">
    <mergeCell ref="A1:D1"/>
    <mergeCell ref="A2:D2"/>
  </mergeCells>
  <conditionalFormatting sqref="A4:A10">
    <cfRule type="beginsWith" dxfId="57" priority="2" operator="beginsWith" text="К;Л;М">
      <formula>LEFT(A4,LEN("К;Л;М"))="К;Л;М"</formula>
    </cfRule>
  </conditionalFormatting>
  <conditionalFormatting sqref="Q10:Q16">
    <cfRule type="beginsWith" dxfId="56" priority="1" operator="beginsWith" text="К;Л;М">
      <formula>LEFT(Q10,LEN("К;Л;М"))="К;Л;М"</formula>
    </cfRule>
  </conditionalFormatting>
  <pageMargins left="0.78740157480314965" right="0.78740157480314965" top="0.98425196850393704" bottom="1.5748031496062993" header="0.51181102362204722" footer="1.1023622047244095"/>
  <pageSetup paperSize="9" scale="95" orientation="portrait" r:id="rId1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36"/>
  <sheetViews>
    <sheetView view="pageLayout" zoomScaleNormal="100" workbookViewId="0">
      <selection activeCell="J22" sqref="J22"/>
    </sheetView>
  </sheetViews>
  <sheetFormatPr defaultRowHeight="14.4" x14ac:dyDescent="0.3"/>
  <cols>
    <col min="2" max="2" width="10.44140625" customWidth="1"/>
    <col min="3" max="3" width="10.88671875" customWidth="1"/>
    <col min="4" max="4" width="10.33203125" customWidth="1"/>
    <col min="5" max="5" width="20.109375" customWidth="1"/>
    <col min="6" max="6" width="11.88671875" customWidth="1"/>
    <col min="7" max="7" width="11.109375" customWidth="1"/>
    <col min="8" max="8" width="10.44140625" customWidth="1"/>
    <col min="9" max="9" width="15.6640625" customWidth="1"/>
    <col min="10" max="10" width="12.5546875" customWidth="1"/>
    <col min="11" max="11" width="9.109375" customWidth="1"/>
    <col min="12" max="12" width="12.44140625" customWidth="1"/>
  </cols>
  <sheetData>
    <row r="1" spans="1:12" x14ac:dyDescent="0.3">
      <c r="A1" s="70" t="s">
        <v>116</v>
      </c>
      <c r="B1" s="70"/>
      <c r="C1" s="70"/>
      <c r="D1" s="70"/>
    </row>
    <row r="2" spans="1:12" x14ac:dyDescent="0.3">
      <c r="A2" s="71" t="s">
        <v>123</v>
      </c>
      <c r="B2" s="71"/>
      <c r="C2" s="71"/>
      <c r="D2" s="71"/>
    </row>
    <row r="3" spans="1:12" ht="35.25" customHeight="1" x14ac:dyDescent="0.3">
      <c r="A3" s="6" t="s">
        <v>87</v>
      </c>
      <c r="B3" s="6" t="s">
        <v>88</v>
      </c>
      <c r="C3" s="7" t="s">
        <v>89</v>
      </c>
      <c r="D3" s="7" t="s">
        <v>90</v>
      </c>
      <c r="E3" s="55" t="s">
        <v>1</v>
      </c>
      <c r="F3" s="6" t="s">
        <v>91</v>
      </c>
      <c r="G3" s="7" t="s">
        <v>92</v>
      </c>
      <c r="H3" s="7" t="s">
        <v>93</v>
      </c>
      <c r="I3" s="7" t="s">
        <v>94</v>
      </c>
      <c r="J3" s="7" t="s">
        <v>95</v>
      </c>
      <c r="K3" s="7" t="s">
        <v>23</v>
      </c>
      <c r="L3" s="6" t="s">
        <v>96</v>
      </c>
    </row>
    <row r="4" spans="1:12" x14ac:dyDescent="0.3">
      <c r="A4" s="31" t="s">
        <v>97</v>
      </c>
      <c r="B4" s="32">
        <v>35066</v>
      </c>
      <c r="C4" s="33">
        <v>9601</v>
      </c>
      <c r="D4" s="49">
        <v>102</v>
      </c>
      <c r="E4" s="31" t="str">
        <f>IF(D4,LOOKUP(D4,Товары!Номер,Товары!Товар)," ")</f>
        <v>Компьютер P5-100</v>
      </c>
      <c r="F4" s="52">
        <v>10</v>
      </c>
      <c r="G4" s="34">
        <f>VLOOKUP(D4,Товары!$A$4:$D$14,4)</f>
        <v>19500</v>
      </c>
      <c r="H4" s="31">
        <v>2002</v>
      </c>
      <c r="I4" s="31" t="str">
        <f>INDEX(Клиенты!Фирма, MATCH(H4, Клиенты!Код, 0))</f>
        <v>Лад ОАО</v>
      </c>
      <c r="J4" s="34">
        <f>G4*F4</f>
        <v>195000</v>
      </c>
      <c r="K4" s="60">
        <f>INDEX(Клиенты!Скидка, MATCH(H4, Клиенты!Код, 0))</f>
        <v>0.05</v>
      </c>
      <c r="L4" s="34">
        <f>J4-J4*K4</f>
        <v>185250</v>
      </c>
    </row>
    <row r="5" spans="1:12" x14ac:dyDescent="0.3">
      <c r="A5" s="35" t="s">
        <v>97</v>
      </c>
      <c r="B5" s="36">
        <v>35066</v>
      </c>
      <c r="C5" s="37">
        <v>9602</v>
      </c>
      <c r="D5" s="50">
        <v>202</v>
      </c>
      <c r="E5" s="35" t="str">
        <f>IF(D5,LOOKUP(D5,Товары!Номер,Товары!Товар)," ")</f>
        <v>Принтер лазерный ПХ</v>
      </c>
      <c r="F5" s="53">
        <v>20</v>
      </c>
      <c r="G5" s="38">
        <f>VLOOKUP(D5,Товары!$A$4:$D$14,4)</f>
        <v>9620</v>
      </c>
      <c r="H5" s="35">
        <v>2001</v>
      </c>
      <c r="I5" s="35" t="str">
        <f>INDEX(Клиенты!Фирма, MATCH(H5, Клиенты!Код, 0))</f>
        <v>Плата ОАО</v>
      </c>
      <c r="J5" s="38">
        <f t="shared" ref="J5:J17" si="0">G5*F5</f>
        <v>192400</v>
      </c>
      <c r="K5" s="61">
        <f>INDEX(Клиенты!Скидка, MATCH(H5, Клиенты!Код, 0))</f>
        <v>0.05</v>
      </c>
      <c r="L5" s="38">
        <f t="shared" ref="L5:L17" si="1">J5-J5*K5</f>
        <v>182780</v>
      </c>
    </row>
    <row r="6" spans="1:12" x14ac:dyDescent="0.3">
      <c r="A6" s="35" t="s">
        <v>97</v>
      </c>
      <c r="B6" s="36">
        <v>35077</v>
      </c>
      <c r="C6" s="37">
        <v>9603</v>
      </c>
      <c r="D6" s="50">
        <v>101</v>
      </c>
      <c r="E6" s="35" t="str">
        <f>IF(D6,LOOKUP(D6,Товары!Номер,Товары!Товар)," ")</f>
        <v>Компьютер P5-66</v>
      </c>
      <c r="F6" s="53">
        <v>15</v>
      </c>
      <c r="G6" s="38">
        <f>VLOOKUP(D6,Товары!$A$4:$D$14,4)</f>
        <v>12987</v>
      </c>
      <c r="H6" s="35">
        <v>2201</v>
      </c>
      <c r="I6" s="35" t="str">
        <f>INDEX(Клиенты!Фирма, MATCH(H6, Клиенты!Код, 0))</f>
        <v>Старт ОАО</v>
      </c>
      <c r="J6" s="38">
        <f t="shared" si="0"/>
        <v>194805</v>
      </c>
      <c r="K6" s="61">
        <f>INDEX(Клиенты!Скидка, MATCH(H6, Клиенты!Код, 0))</f>
        <v>0</v>
      </c>
      <c r="L6" s="38">
        <f t="shared" si="1"/>
        <v>194805</v>
      </c>
    </row>
    <row r="7" spans="1:12" x14ac:dyDescent="0.3">
      <c r="A7" s="35" t="s">
        <v>97</v>
      </c>
      <c r="B7" s="36">
        <v>35077</v>
      </c>
      <c r="C7" s="37">
        <v>9604</v>
      </c>
      <c r="D7" s="50">
        <v>201</v>
      </c>
      <c r="E7" s="35" t="str">
        <f>IF(D7,LOOKUP(D7,Товары!Номер,Товары!Товар)," ")</f>
        <v>Принтер лазерный ОХ</v>
      </c>
      <c r="F7" s="53">
        <v>30</v>
      </c>
      <c r="G7" s="38">
        <f>VLOOKUP(D7,Товары!$A$4:$D$14,4)</f>
        <v>16900</v>
      </c>
      <c r="H7" s="35">
        <v>3201</v>
      </c>
      <c r="I7" s="35" t="str">
        <f>INDEX(Клиенты!Фирма, MATCH(H7, Клиенты!Код, 0))</f>
        <v>Ворлд ЛТД</v>
      </c>
      <c r="J7" s="38">
        <f t="shared" si="0"/>
        <v>507000</v>
      </c>
      <c r="K7" s="61">
        <f>INDEX(Клиенты!Скидка, MATCH(H7, Клиенты!Код, 0))</f>
        <v>0.05</v>
      </c>
      <c r="L7" s="38">
        <f t="shared" si="1"/>
        <v>481650</v>
      </c>
    </row>
    <row r="8" spans="1:12" x14ac:dyDescent="0.3">
      <c r="A8" s="35" t="s">
        <v>97</v>
      </c>
      <c r="B8" s="36">
        <v>35081</v>
      </c>
      <c r="C8" s="37">
        <v>9605</v>
      </c>
      <c r="D8" s="50">
        <v>103</v>
      </c>
      <c r="E8" s="35" t="str">
        <f>IF(D8,LOOKUP(D8,Товары!Номер,Товары!Товар)," ")</f>
        <v>Компьютер 486-66</v>
      </c>
      <c r="F8" s="53">
        <v>10</v>
      </c>
      <c r="G8" s="38">
        <f>VLOOKUP(D8,Товары!$A$4:$D$14,4)</f>
        <v>10140</v>
      </c>
      <c r="H8" s="35">
        <v>2302</v>
      </c>
      <c r="I8" s="35" t="str">
        <f>INDEX(Клиенты!Фирма, MATCH(H8, Клиенты!Код, 0))</f>
        <v>Память ООО</v>
      </c>
      <c r="J8" s="38">
        <f t="shared" si="0"/>
        <v>101400</v>
      </c>
      <c r="K8" s="61">
        <f>INDEX(Клиенты!Скидка, MATCH(H8, Клиенты!Код, 0))</f>
        <v>0</v>
      </c>
      <c r="L8" s="38">
        <f t="shared" si="1"/>
        <v>101400</v>
      </c>
    </row>
    <row r="9" spans="1:12" x14ac:dyDescent="0.3">
      <c r="A9" s="35" t="s">
        <v>97</v>
      </c>
      <c r="B9" s="36">
        <v>35084</v>
      </c>
      <c r="C9" s="37">
        <v>9606</v>
      </c>
      <c r="D9" s="50">
        <v>301</v>
      </c>
      <c r="E9" s="35" t="str">
        <f>IF(D9,LOOKUP(D9,Товары!Номер,Товары!Товар)," ")</f>
        <v>Монитор 14"</v>
      </c>
      <c r="F9" s="53">
        <v>30</v>
      </c>
      <c r="G9" s="38">
        <f>VLOOKUP(D9,Товары!$A$4:$D$14,4)</f>
        <v>2860</v>
      </c>
      <c r="H9" s="35">
        <v>2402</v>
      </c>
      <c r="I9" s="35" t="str">
        <f>INDEX(Клиенты!Фирма, MATCH(H9, Клиенты!Код, 0))</f>
        <v>Диск ООО</v>
      </c>
      <c r="J9" s="38">
        <f t="shared" si="0"/>
        <v>85800</v>
      </c>
      <c r="K9" s="61">
        <f>INDEX(Клиенты!Скидка, MATCH(H9, Клиенты!Код, 0))</f>
        <v>0.02</v>
      </c>
      <c r="L9" s="38">
        <f t="shared" si="1"/>
        <v>84084</v>
      </c>
    </row>
    <row r="10" spans="1:12" x14ac:dyDescent="0.3">
      <c r="A10" s="35" t="s">
        <v>97</v>
      </c>
      <c r="B10" s="36">
        <v>35084</v>
      </c>
      <c r="C10" s="37">
        <v>9607</v>
      </c>
      <c r="D10" s="50">
        <v>102</v>
      </c>
      <c r="E10" s="35" t="str">
        <f>IF(D10,LOOKUP(D10,Товары!Номер,Товары!Товар)," ")</f>
        <v>Компьютер P5-100</v>
      </c>
      <c r="F10" s="53">
        <v>30</v>
      </c>
      <c r="G10" s="38">
        <f>VLOOKUP(D10,Товары!$A$4:$D$14,4)</f>
        <v>19500</v>
      </c>
      <c r="H10" s="35">
        <v>2002</v>
      </c>
      <c r="I10" s="35" t="str">
        <f>INDEX(Клиенты!Фирма, MATCH(H10, Клиенты!Код, 0))</f>
        <v>Лад ОАО</v>
      </c>
      <c r="J10" s="38">
        <f t="shared" si="0"/>
        <v>585000</v>
      </c>
      <c r="K10" s="61">
        <f>INDEX(Клиенты!Скидка, MATCH(H10, Клиенты!Код, 0))</f>
        <v>0.05</v>
      </c>
      <c r="L10" s="38">
        <f t="shared" si="1"/>
        <v>555750</v>
      </c>
    </row>
    <row r="11" spans="1:12" x14ac:dyDescent="0.3">
      <c r="A11" s="35" t="s">
        <v>97</v>
      </c>
      <c r="B11" s="36">
        <v>35090</v>
      </c>
      <c r="C11" s="37">
        <v>9608</v>
      </c>
      <c r="D11" s="50">
        <v>204</v>
      </c>
      <c r="E11" s="35" t="str">
        <f>IF(D11,LOOKUP(D11,Товары!Номер,Товары!Товар)," ")</f>
        <v>Принтер струйный Ц</v>
      </c>
      <c r="F11" s="53">
        <v>40</v>
      </c>
      <c r="G11" s="38">
        <f>VLOOKUP(D11,Товары!$A$4:$D$14,4)</f>
        <v>5980</v>
      </c>
      <c r="H11" s="35">
        <v>3202</v>
      </c>
      <c r="I11" s="35" t="str">
        <f>INDEX(Клиенты!Фирма, MATCH(H11, Клиенты!Код, 0))</f>
        <v>Корпус ОАО</v>
      </c>
      <c r="J11" s="38">
        <f t="shared" si="0"/>
        <v>239200</v>
      </c>
      <c r="K11" s="61">
        <f>INDEX(Клиенты!Скидка, MATCH(H11, Клиенты!Код, 0))</f>
        <v>0.02</v>
      </c>
      <c r="L11" s="38">
        <f t="shared" si="1"/>
        <v>234416</v>
      </c>
    </row>
    <row r="12" spans="1:12" x14ac:dyDescent="0.3">
      <c r="A12" s="35" t="s">
        <v>98</v>
      </c>
      <c r="B12" s="36">
        <v>35097</v>
      </c>
      <c r="C12" s="37">
        <v>9609</v>
      </c>
      <c r="D12" s="50">
        <v>104</v>
      </c>
      <c r="E12" s="35" t="str">
        <f>IF(D12,LOOKUP(D12,Товары!Номер,Товары!Товар)," ")</f>
        <v>Компьютер 486-75</v>
      </c>
      <c r="F12" s="53">
        <v>15</v>
      </c>
      <c r="G12" s="38">
        <f>VLOOKUP(D12,Товары!$A$4:$D$14,4)</f>
        <v>10647</v>
      </c>
      <c r="H12" s="35">
        <v>3203</v>
      </c>
      <c r="I12" s="35" t="str">
        <f>INDEX(Клиенты!Фирма, MATCH(H12, Клиенты!Код, 0))</f>
        <v>Новь ЧП</v>
      </c>
      <c r="J12" s="38">
        <f t="shared" si="0"/>
        <v>159705</v>
      </c>
      <c r="K12" s="61">
        <f>INDEX(Клиенты!Скидка, MATCH(H12, Клиенты!Код, 0))</f>
        <v>0</v>
      </c>
      <c r="L12" s="38">
        <f t="shared" si="1"/>
        <v>159705</v>
      </c>
    </row>
    <row r="13" spans="1:12" x14ac:dyDescent="0.3">
      <c r="A13" s="35" t="s">
        <v>98</v>
      </c>
      <c r="B13" s="36">
        <v>35105</v>
      </c>
      <c r="C13" s="37">
        <v>9610</v>
      </c>
      <c r="D13" s="50">
        <v>203</v>
      </c>
      <c r="E13" s="35" t="str">
        <f>IF(D13,LOOKUP(D13,Товары!Номер,Товары!Товар)," ")</f>
        <v>Принтер лазерный ЧБ</v>
      </c>
      <c r="F13" s="53">
        <v>20</v>
      </c>
      <c r="G13" s="38">
        <f>VLOOKUP(D13,Товары!$A$4:$D$14,4)</f>
        <v>3887</v>
      </c>
      <c r="H13" s="35">
        <v>3202</v>
      </c>
      <c r="I13" s="35" t="str">
        <f>INDEX(Клиенты!Фирма, MATCH(H13, Клиенты!Код, 0))</f>
        <v>Корпус ОАО</v>
      </c>
      <c r="J13" s="38">
        <f t="shared" si="0"/>
        <v>77740</v>
      </c>
      <c r="K13" s="61">
        <f>INDEX(Клиенты!Скидка, MATCH(H13, Клиенты!Код, 0))</f>
        <v>0.02</v>
      </c>
      <c r="L13" s="38">
        <f t="shared" si="1"/>
        <v>76185.2</v>
      </c>
    </row>
    <row r="14" spans="1:12" x14ac:dyDescent="0.3">
      <c r="A14" s="35" t="s">
        <v>98</v>
      </c>
      <c r="B14" s="36">
        <v>35110</v>
      </c>
      <c r="C14" s="37">
        <v>9611</v>
      </c>
      <c r="D14" s="50">
        <v>302</v>
      </c>
      <c r="E14" s="35" t="str">
        <f>IF(D14,LOOKUP(D14,Товары!Номер,Товары!Товар)," ")</f>
        <v>Монитор 15"</v>
      </c>
      <c r="F14" s="53">
        <v>10</v>
      </c>
      <c r="G14" s="38">
        <f>VLOOKUP(D14,Товары!$A$4:$D$14,4)</f>
        <v>4381</v>
      </c>
      <c r="H14" s="35">
        <v>2402</v>
      </c>
      <c r="I14" s="35" t="str">
        <f>INDEX(Клиенты!Фирма, MATCH(H14, Клиенты!Код, 0))</f>
        <v>Диск ООО</v>
      </c>
      <c r="J14" s="38">
        <f t="shared" si="0"/>
        <v>43810</v>
      </c>
      <c r="K14" s="61">
        <f>INDEX(Клиенты!Скидка, MATCH(H14, Клиенты!Код, 0))</f>
        <v>0.02</v>
      </c>
      <c r="L14" s="38">
        <f t="shared" si="1"/>
        <v>42933.8</v>
      </c>
    </row>
    <row r="15" spans="1:12" x14ac:dyDescent="0.3">
      <c r="A15" s="35" t="s">
        <v>98</v>
      </c>
      <c r="B15" s="36">
        <v>35111</v>
      </c>
      <c r="C15" s="37">
        <v>9612</v>
      </c>
      <c r="D15" s="50">
        <v>304</v>
      </c>
      <c r="E15" s="35" t="str">
        <f>IF(D15,LOOKUP(D15,Товары!Номер,Товары!Товар)," ")</f>
        <v>Монитор 17"</v>
      </c>
      <c r="F15" s="53">
        <v>10</v>
      </c>
      <c r="G15" s="38">
        <f>VLOOKUP(D15,Товары!$A$4:$D$14,4)</f>
        <v>6734</v>
      </c>
      <c r="H15" s="35">
        <v>3103</v>
      </c>
      <c r="I15" s="35" t="str">
        <f>INDEX(Клиенты!Фирма, MATCH(H15, Клиенты!Код, 0))</f>
        <v>Финиш ООО</v>
      </c>
      <c r="J15" s="38">
        <f t="shared" si="0"/>
        <v>67340</v>
      </c>
      <c r="K15" s="61">
        <f>INDEX(Клиенты!Скидка, MATCH(H15, Клиенты!Код, 0))</f>
        <v>0.05</v>
      </c>
      <c r="L15" s="38">
        <f t="shared" si="1"/>
        <v>63973</v>
      </c>
    </row>
    <row r="16" spans="1:12" x14ac:dyDescent="0.3">
      <c r="A16" s="35" t="s">
        <v>98</v>
      </c>
      <c r="B16" s="36">
        <v>35116</v>
      </c>
      <c r="C16" s="37">
        <v>9613</v>
      </c>
      <c r="D16" s="50">
        <v>102</v>
      </c>
      <c r="E16" s="35" t="str">
        <f>IF(D16,LOOKUP(D16,Товары!Номер,Товары!Товар)," ")</f>
        <v>Компьютер P5-100</v>
      </c>
      <c r="F16" s="53">
        <v>20</v>
      </c>
      <c r="G16" s="38">
        <f>VLOOKUP(D16,Товары!$A$4:$D$14,4)</f>
        <v>19500</v>
      </c>
      <c r="H16" s="35">
        <v>2002</v>
      </c>
      <c r="I16" s="35" t="str">
        <f>INDEX(Клиенты!Фирма, MATCH(H16, Клиенты!Код, 0))</f>
        <v>Лад ОАО</v>
      </c>
      <c r="J16" s="38">
        <f t="shared" si="0"/>
        <v>390000</v>
      </c>
      <c r="K16" s="61">
        <f>INDEX(Клиенты!Скидка, MATCH(H16, Клиенты!Код, 0))</f>
        <v>0.05</v>
      </c>
      <c r="L16" s="38">
        <f t="shared" si="1"/>
        <v>370500</v>
      </c>
    </row>
    <row r="17" spans="1:12" x14ac:dyDescent="0.3">
      <c r="A17" s="39" t="s">
        <v>98</v>
      </c>
      <c r="B17" s="40">
        <v>35118</v>
      </c>
      <c r="C17" s="41">
        <v>9614</v>
      </c>
      <c r="D17" s="51">
        <v>103</v>
      </c>
      <c r="E17" s="39" t="str">
        <f>IF(D17,LOOKUP(D17,Товары!Номер,Товары!Товар)," ")</f>
        <v>Компьютер 486-66</v>
      </c>
      <c r="F17" s="54">
        <v>10</v>
      </c>
      <c r="G17" s="42">
        <f>VLOOKUP(D17,Товары!$A$4:$D$14,4)</f>
        <v>10140</v>
      </c>
      <c r="H17" s="39">
        <v>3102</v>
      </c>
      <c r="I17" s="39" t="str">
        <f>INDEX(Клиенты!Фирма, MATCH(H17, Клиенты!Код, 0))</f>
        <v>Монитор ЗАО</v>
      </c>
      <c r="J17" s="42">
        <f t="shared" si="0"/>
        <v>101400</v>
      </c>
      <c r="K17" s="62">
        <f>INDEX(Клиенты!Скидка, MATCH(H17, Клиенты!Код, 0))</f>
        <v>0.02</v>
      </c>
      <c r="L17" s="42">
        <f t="shared" si="1"/>
        <v>99372</v>
      </c>
    </row>
    <row r="20" spans="1:12" x14ac:dyDescent="0.3">
      <c r="E20" s="43"/>
    </row>
    <row r="21" spans="1:12" x14ac:dyDescent="0.3">
      <c r="A21" s="18"/>
      <c r="B21" s="18"/>
      <c r="C21" s="48"/>
    </row>
    <row r="22" spans="1:12" x14ac:dyDescent="0.3">
      <c r="A22" s="18"/>
    </row>
    <row r="23" spans="1:12" x14ac:dyDescent="0.3">
      <c r="F23" s="14"/>
    </row>
    <row r="24" spans="1:12" x14ac:dyDescent="0.3">
      <c r="F24" s="14"/>
    </row>
    <row r="25" spans="1:12" x14ac:dyDescent="0.3">
      <c r="F25" s="14"/>
    </row>
    <row r="26" spans="1:12" x14ac:dyDescent="0.3">
      <c r="F26" s="14"/>
    </row>
    <row r="27" spans="1:12" x14ac:dyDescent="0.3">
      <c r="F27" s="14"/>
    </row>
    <row r="28" spans="1:12" x14ac:dyDescent="0.3">
      <c r="F28" s="14"/>
    </row>
    <row r="29" spans="1:12" x14ac:dyDescent="0.3">
      <c r="F29" s="14"/>
    </row>
    <row r="30" spans="1:12" x14ac:dyDescent="0.3">
      <c r="F30" s="14"/>
    </row>
    <row r="31" spans="1:12" x14ac:dyDescent="0.3">
      <c r="F31" s="14"/>
    </row>
    <row r="32" spans="1:12" x14ac:dyDescent="0.3">
      <c r="F32" s="14"/>
    </row>
    <row r="33" spans="6:6" x14ac:dyDescent="0.3">
      <c r="F33" s="14"/>
    </row>
    <row r="34" spans="6:6" x14ac:dyDescent="0.3">
      <c r="F34" s="14"/>
    </row>
    <row r="35" spans="6:6" x14ac:dyDescent="0.3">
      <c r="F35" s="14"/>
    </row>
    <row r="36" spans="6:6" x14ac:dyDescent="0.3">
      <c r="F36" s="14"/>
    </row>
  </sheetData>
  <mergeCells count="2">
    <mergeCell ref="A1:D1"/>
    <mergeCell ref="A2:D2"/>
  </mergeCells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pageSetUpPr fitToPage="1"/>
  </sheetPr>
  <dimension ref="A1:AG22"/>
  <sheetViews>
    <sheetView view="pageLayout" zoomScaleNormal="100" workbookViewId="0">
      <selection activeCell="B4" sqref="B4:L4"/>
    </sheetView>
  </sheetViews>
  <sheetFormatPr defaultColWidth="9.109375" defaultRowHeight="18" x14ac:dyDescent="0.3"/>
  <cols>
    <col min="1" max="1" width="1.6640625" style="10" customWidth="1"/>
    <col min="2" max="2" width="0.88671875" style="10" customWidth="1"/>
    <col min="3" max="3" width="7.88671875" style="10" customWidth="1"/>
    <col min="4" max="4" width="3.33203125" style="10" customWidth="1"/>
    <col min="5" max="5" width="7.33203125" style="10" customWidth="1"/>
    <col min="6" max="6" width="2.5546875" style="10" customWidth="1"/>
    <col min="7" max="7" width="0.6640625" style="10" customWidth="1"/>
    <col min="8" max="8" width="2.88671875" style="10" hidden="1" customWidth="1"/>
    <col min="9" max="9" width="0.88671875" style="10" hidden="1" customWidth="1"/>
    <col min="10" max="10" width="1.109375" style="10" customWidth="1"/>
    <col min="11" max="11" width="3.109375" style="10" customWidth="1"/>
    <col min="12" max="12" width="2.33203125" style="10" customWidth="1"/>
    <col min="13" max="13" width="1.33203125" style="10" customWidth="1"/>
    <col min="14" max="14" width="2.109375" style="10" customWidth="1"/>
    <col min="15" max="15" width="1.33203125" style="10" customWidth="1"/>
    <col min="16" max="16" width="4.5546875" style="10" customWidth="1"/>
    <col min="17" max="17" width="4.33203125" style="10" customWidth="1"/>
    <col min="18" max="18" width="3" style="10" customWidth="1"/>
    <col min="19" max="19" width="0.33203125" style="10" hidden="1" customWidth="1"/>
    <col min="20" max="20" width="0.44140625" style="10" customWidth="1"/>
    <col min="21" max="21" width="3.109375" style="10" customWidth="1"/>
    <col min="22" max="22" width="0.109375" style="10" customWidth="1"/>
    <col min="23" max="23" width="5.88671875" style="10" customWidth="1"/>
    <col min="24" max="24" width="5.109375" style="10" customWidth="1"/>
    <col min="25" max="26" width="4.44140625" style="10" customWidth="1"/>
    <col min="27" max="27" width="3.33203125" style="10" customWidth="1"/>
    <col min="28" max="28" width="3.44140625" style="10" customWidth="1"/>
    <col min="29" max="30" width="5.109375" style="10" customWidth="1"/>
    <col min="31" max="31" width="2.109375" style="10" customWidth="1"/>
    <col min="32" max="32" width="0.6640625" style="10" customWidth="1"/>
    <col min="33" max="33" width="3.88671875" style="10" customWidth="1"/>
    <col min="34" max="16384" width="9.109375" style="10"/>
  </cols>
  <sheetData>
    <row r="1" spans="1:33" x14ac:dyDescent="0.3">
      <c r="A1" s="86" t="s">
        <v>116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2" spans="1:33" x14ac:dyDescent="0.3">
      <c r="A2" s="86" t="s">
        <v>123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</row>
    <row r="3" spans="1:33" x14ac:dyDescent="0.3"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1"/>
      <c r="O3" s="21"/>
      <c r="P3" s="21"/>
      <c r="Q3" s="21"/>
      <c r="R3" s="21"/>
      <c r="S3" s="20"/>
      <c r="T3" s="20"/>
      <c r="U3" s="21"/>
      <c r="V3" s="21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2"/>
    </row>
    <row r="4" spans="1:33" x14ac:dyDescent="0.25">
      <c r="B4" s="75"/>
      <c r="C4" s="76"/>
      <c r="D4" s="76"/>
      <c r="E4" s="76"/>
      <c r="F4" s="76"/>
      <c r="G4" s="76"/>
      <c r="H4" s="76"/>
      <c r="I4" s="76"/>
      <c r="J4" s="76"/>
      <c r="K4" s="76"/>
      <c r="L4" s="76"/>
      <c r="M4" s="73" t="s">
        <v>100</v>
      </c>
      <c r="N4" s="73"/>
      <c r="O4" s="73"/>
      <c r="P4" s="73"/>
      <c r="Q4" s="81">
        <v>9613</v>
      </c>
      <c r="R4" s="81"/>
      <c r="S4" s="23"/>
      <c r="T4" s="23"/>
      <c r="U4" s="72" t="s">
        <v>101</v>
      </c>
      <c r="V4" s="72"/>
      <c r="W4" s="79">
        <f>IF(Q4,LOOKUP(Q4,Заказы!Заказ,Заказы!Дата), " ")</f>
        <v>35116</v>
      </c>
      <c r="X4" s="79"/>
      <c r="Y4" s="79"/>
      <c r="Z4" s="73"/>
      <c r="AA4" s="73"/>
      <c r="AB4" s="73"/>
      <c r="AC4" s="73"/>
      <c r="AD4" s="73"/>
      <c r="AE4" s="73"/>
      <c r="AF4" s="73"/>
      <c r="AG4" s="78"/>
    </row>
    <row r="5" spans="1:33" ht="18.75" customHeight="1" x14ac:dyDescent="0.3">
      <c r="B5" s="75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7"/>
    </row>
    <row r="6" spans="1:33" ht="18.75" customHeight="1" x14ac:dyDescent="0.25">
      <c r="B6" s="24"/>
      <c r="C6" s="72" t="s">
        <v>99</v>
      </c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3"/>
      <c r="R6" s="73"/>
      <c r="S6" s="73"/>
      <c r="T6" s="73"/>
      <c r="U6" s="73"/>
      <c r="V6" s="73"/>
      <c r="W6" s="73"/>
      <c r="X6" s="23" t="s">
        <v>16</v>
      </c>
      <c r="Y6" s="74">
        <f>IF(Q4,LOOKUP(Q4,Заказы!Заказ,Заказы!Код2), " ")</f>
        <v>2002</v>
      </c>
      <c r="Z6" s="74"/>
      <c r="AA6" s="74"/>
      <c r="AB6" s="74"/>
      <c r="AC6" s="73"/>
      <c r="AD6" s="73"/>
      <c r="AE6" s="73"/>
      <c r="AF6" s="73"/>
      <c r="AG6" s="78"/>
    </row>
    <row r="7" spans="1:33" ht="7.5" customHeight="1" x14ac:dyDescent="0.25">
      <c r="B7" s="24"/>
      <c r="C7" s="23"/>
      <c r="D7" s="23"/>
      <c r="E7" s="2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8"/>
    </row>
    <row r="8" spans="1:33" ht="18.75" customHeight="1" x14ac:dyDescent="0.25">
      <c r="B8" s="24"/>
      <c r="C8" s="74" t="str">
        <f>IF(Q4,LOOKUP(Q4,Заказы!Заказ,Заказы!Фирма2), " ")</f>
        <v>Лад ОАО</v>
      </c>
      <c r="D8" s="74"/>
      <c r="E8" s="74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8"/>
    </row>
    <row r="9" spans="1:33" ht="15" customHeight="1" x14ac:dyDescent="0.3">
      <c r="B9" s="75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7"/>
    </row>
    <row r="10" spans="1:33" x14ac:dyDescent="0.25">
      <c r="B10" s="75"/>
      <c r="C10" s="76"/>
      <c r="D10" s="72" t="s">
        <v>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4" t="str">
        <f>IF(Q4,LOOKUP(Q4,Заказы!Заказ,Заказы!Товар2), " ")</f>
        <v>Компьютер P5-100</v>
      </c>
      <c r="Q10" s="74"/>
      <c r="R10" s="74"/>
      <c r="S10" s="74"/>
      <c r="T10" s="74"/>
      <c r="U10" s="74"/>
      <c r="V10" s="74"/>
      <c r="W10" s="74"/>
      <c r="X10" s="74"/>
      <c r="Y10" s="73"/>
      <c r="Z10" s="73"/>
      <c r="AA10" s="23" t="s">
        <v>108</v>
      </c>
      <c r="AB10" s="74">
        <f>IF(Q4,LOOKUP(Q4,Заказы!Заказ,Заказы!Номер2), " ")</f>
        <v>102</v>
      </c>
      <c r="AC10" s="74"/>
      <c r="AD10" s="74"/>
      <c r="AE10" s="74"/>
      <c r="AF10" s="73"/>
      <c r="AG10" s="78"/>
    </row>
    <row r="11" spans="1:33" ht="15" customHeight="1" x14ac:dyDescent="0.3">
      <c r="B11" s="75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7"/>
    </row>
    <row r="12" spans="1:33" x14ac:dyDescent="0.25">
      <c r="B12" s="24"/>
      <c r="C12" s="72" t="s">
        <v>102</v>
      </c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4">
        <f>IF(Q4,LOOKUP(Q4,Заказы!Заказ,Заказы!Количество), " ")</f>
        <v>20</v>
      </c>
      <c r="O12" s="74"/>
      <c r="P12" s="74"/>
      <c r="Q12" s="74"/>
      <c r="R12" s="74"/>
      <c r="S12" s="74"/>
      <c r="T12" s="74"/>
      <c r="U12" s="74"/>
      <c r="V12" s="23" t="s">
        <v>106</v>
      </c>
      <c r="W12" s="25"/>
      <c r="X12" s="72" t="s">
        <v>107</v>
      </c>
      <c r="Y12" s="72"/>
      <c r="Z12" s="80">
        <f>IF(Q4,LOOKUP(Q4,Заказы!Заказ,Заказы!Цена2), " ")</f>
        <v>19500</v>
      </c>
      <c r="AA12" s="80"/>
      <c r="AB12" s="80"/>
      <c r="AC12" s="80"/>
      <c r="AD12" s="72" t="s">
        <v>109</v>
      </c>
      <c r="AE12" s="72"/>
      <c r="AF12" s="72"/>
      <c r="AG12" s="26"/>
    </row>
    <row r="13" spans="1:33" ht="15" customHeight="1" x14ac:dyDescent="0.3">
      <c r="B13" s="75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7"/>
    </row>
    <row r="14" spans="1:33" x14ac:dyDescent="0.25">
      <c r="B14" s="24"/>
      <c r="C14" s="72" t="s">
        <v>103</v>
      </c>
      <c r="D14" s="72"/>
      <c r="E14" s="72"/>
      <c r="F14" s="72"/>
      <c r="G14" s="72"/>
      <c r="H14" s="72"/>
      <c r="I14" s="72"/>
      <c r="J14" s="72"/>
      <c r="K14" s="72"/>
      <c r="L14" s="72"/>
      <c r="M14" s="80">
        <f>IF(Q4,LOOKUP(Q4,Заказы!Заказ,Заказы!Сумма), " ")</f>
        <v>390000</v>
      </c>
      <c r="N14" s="80"/>
      <c r="O14" s="80"/>
      <c r="P14" s="80"/>
      <c r="Q14" s="80"/>
      <c r="R14" s="73"/>
      <c r="S14" s="73"/>
      <c r="T14" s="73"/>
      <c r="U14" s="73"/>
      <c r="V14" s="73"/>
      <c r="W14" s="73"/>
      <c r="X14" s="72" t="s">
        <v>23</v>
      </c>
      <c r="Y14" s="72"/>
      <c r="Z14" s="72"/>
      <c r="AA14" s="82">
        <f>IF(Q4,LOOKUP(Q4,Заказы!Заказ,Заказы!Скидка2), " ")</f>
        <v>0.05</v>
      </c>
      <c r="AB14" s="82"/>
      <c r="AC14" s="82"/>
      <c r="AD14" s="82"/>
      <c r="AE14" s="73"/>
      <c r="AF14" s="73"/>
      <c r="AG14" s="78"/>
    </row>
    <row r="15" spans="1:33" ht="15" customHeight="1" x14ac:dyDescent="0.3">
      <c r="B15" s="75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7"/>
    </row>
    <row r="16" spans="1:33" x14ac:dyDescent="0.25">
      <c r="B16" s="24"/>
      <c r="C16" s="72" t="s">
        <v>104</v>
      </c>
      <c r="D16" s="72"/>
      <c r="E16" s="80">
        <f>IF(Q4,LOOKUP(Q4,Заказы!Заказ,Заказы!Оплата), " ")</f>
        <v>370500</v>
      </c>
      <c r="F16" s="80"/>
      <c r="G16" s="80"/>
      <c r="H16" s="80"/>
      <c r="I16" s="80"/>
      <c r="J16" s="80"/>
      <c r="K16" s="80"/>
      <c r="L16" s="73"/>
      <c r="M16" s="73"/>
      <c r="N16" s="73"/>
      <c r="O16" s="73"/>
      <c r="P16" s="72" t="s">
        <v>105</v>
      </c>
      <c r="Q16" s="72"/>
      <c r="R16" s="72"/>
      <c r="S16" s="25"/>
      <c r="T16" s="74" t="str">
        <f>IF(Q4,LOOKUP(Y6,Клиенты!Код,Клиенты!Клиент), " ")</f>
        <v>Денис Серга</v>
      </c>
      <c r="U16" s="74"/>
      <c r="V16" s="74"/>
      <c r="W16" s="74"/>
      <c r="X16" s="74"/>
      <c r="Y16" s="74"/>
      <c r="Z16" s="74"/>
      <c r="AA16" s="74"/>
      <c r="AB16" s="73"/>
      <c r="AC16" s="73"/>
      <c r="AD16" s="73"/>
      <c r="AE16" s="73"/>
      <c r="AF16" s="73"/>
      <c r="AG16" s="78"/>
    </row>
    <row r="17" spans="1:33" ht="13.5" customHeight="1" x14ac:dyDescent="0.3">
      <c r="B17" s="83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5"/>
    </row>
    <row r="19" spans="1:33" x14ac:dyDescent="0.3">
      <c r="E19" s="56"/>
    </row>
    <row r="21" spans="1:33" x14ac:dyDescent="0.3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33" x14ac:dyDescent="0.3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</sheetData>
  <mergeCells count="43">
    <mergeCell ref="B17:AG17"/>
    <mergeCell ref="A1:L1"/>
    <mergeCell ref="P16:R16"/>
    <mergeCell ref="B4:L4"/>
    <mergeCell ref="Z4:AG4"/>
    <mergeCell ref="B5:AG5"/>
    <mergeCell ref="Q6:W6"/>
    <mergeCell ref="AC6:AG6"/>
    <mergeCell ref="F7:AG8"/>
    <mergeCell ref="B9:AG9"/>
    <mergeCell ref="AF10:AG10"/>
    <mergeCell ref="Y10:Z10"/>
    <mergeCell ref="B10:C10"/>
    <mergeCell ref="B11:AG11"/>
    <mergeCell ref="N12:U12"/>
    <mergeCell ref="A2:L2"/>
    <mergeCell ref="C16:D16"/>
    <mergeCell ref="E16:K16"/>
    <mergeCell ref="C12:M12"/>
    <mergeCell ref="B15:AG15"/>
    <mergeCell ref="AB16:AG16"/>
    <mergeCell ref="L16:O16"/>
    <mergeCell ref="T16:AA16"/>
    <mergeCell ref="X12:Y12"/>
    <mergeCell ref="X14:Z14"/>
    <mergeCell ref="AA14:AD14"/>
    <mergeCell ref="M14:Q14"/>
    <mergeCell ref="D10:O10"/>
    <mergeCell ref="M4:P4"/>
    <mergeCell ref="C6:P6"/>
    <mergeCell ref="C14:L14"/>
    <mergeCell ref="C8:E8"/>
    <mergeCell ref="B13:AG13"/>
    <mergeCell ref="AE14:AG14"/>
    <mergeCell ref="R14:W14"/>
    <mergeCell ref="W4:Y4"/>
    <mergeCell ref="P10:X10"/>
    <mergeCell ref="Y6:AB6"/>
    <mergeCell ref="Z12:AC12"/>
    <mergeCell ref="AB10:AE10"/>
    <mergeCell ref="Q4:R4"/>
    <mergeCell ref="U4:V4"/>
    <mergeCell ref="AD12:AF12"/>
  </mergeCells>
  <pageMargins left="0.78740157480314965" right="0.78740157480314965" top="0.98425196850393704" bottom="1.5748031496062993" header="0.51181102362204722" footer="1.1023622047244095"/>
  <pageSetup paperSize="9" scale="89" orientation="portrait" r:id="rId1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pageSetUpPr fitToPage="1"/>
  </sheetPr>
  <dimension ref="A1:G40"/>
  <sheetViews>
    <sheetView view="pageLayout" zoomScaleNormal="115" workbookViewId="0">
      <selection activeCell="A4" sqref="A4"/>
    </sheetView>
  </sheetViews>
  <sheetFormatPr defaultColWidth="9.109375" defaultRowHeight="14.4" x14ac:dyDescent="0.3"/>
  <cols>
    <col min="1" max="1" width="21.44140625" customWidth="1"/>
    <col min="2" max="2" width="12.6640625" bestFit="1" customWidth="1"/>
    <col min="3" max="6" width="11.6640625" bestFit="1" customWidth="1"/>
    <col min="7" max="7" width="13.44140625" bestFit="1" customWidth="1"/>
    <col min="8" max="10" width="24" bestFit="1" customWidth="1"/>
    <col min="11" max="11" width="23" bestFit="1" customWidth="1"/>
    <col min="12" max="12" width="14.44140625" bestFit="1" customWidth="1"/>
    <col min="13" max="13" width="13.44140625" bestFit="1" customWidth="1"/>
  </cols>
  <sheetData>
    <row r="1" spans="1:7" x14ac:dyDescent="0.3">
      <c r="A1" s="28" t="s">
        <v>87</v>
      </c>
      <c r="B1" s="18" t="s">
        <v>113</v>
      </c>
    </row>
    <row r="3" spans="1:7" ht="28.2" x14ac:dyDescent="0.3">
      <c r="A3" s="45" t="s">
        <v>112</v>
      </c>
      <c r="B3" s="45" t="s">
        <v>119</v>
      </c>
      <c r="C3" s="18"/>
      <c r="D3" s="18"/>
      <c r="E3" s="18"/>
      <c r="F3" s="18"/>
      <c r="G3" s="18"/>
    </row>
    <row r="4" spans="1:7" x14ac:dyDescent="0.3">
      <c r="A4" s="45" t="s">
        <v>110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46" t="s">
        <v>111</v>
      </c>
    </row>
    <row r="5" spans="1:7" x14ac:dyDescent="0.3">
      <c r="A5" s="29" t="s">
        <v>5</v>
      </c>
      <c r="B5" s="44">
        <v>202800</v>
      </c>
      <c r="C5" s="44"/>
      <c r="D5" s="44"/>
      <c r="E5" s="44"/>
      <c r="F5" s="44"/>
      <c r="G5" s="44">
        <v>202800</v>
      </c>
    </row>
    <row r="6" spans="1:7" x14ac:dyDescent="0.3">
      <c r="A6" s="29" t="s">
        <v>6</v>
      </c>
      <c r="B6" s="44"/>
      <c r="C6" s="44">
        <v>159705</v>
      </c>
      <c r="D6" s="44"/>
      <c r="E6" s="44"/>
      <c r="F6" s="44"/>
      <c r="G6" s="44">
        <v>159705</v>
      </c>
    </row>
    <row r="7" spans="1:7" x14ac:dyDescent="0.3">
      <c r="A7" s="29" t="s">
        <v>4</v>
      </c>
      <c r="B7" s="44">
        <v>195000</v>
      </c>
      <c r="C7" s="44"/>
      <c r="D7" s="44">
        <v>390000</v>
      </c>
      <c r="E7" s="44">
        <v>585000</v>
      </c>
      <c r="F7" s="44"/>
      <c r="G7" s="44">
        <v>1170000</v>
      </c>
    </row>
    <row r="8" spans="1:7" x14ac:dyDescent="0.3">
      <c r="A8" s="29" t="s">
        <v>3</v>
      </c>
      <c r="B8" s="44"/>
      <c r="C8" s="44">
        <v>194805</v>
      </c>
      <c r="D8" s="44"/>
      <c r="E8" s="44"/>
      <c r="F8" s="44"/>
      <c r="G8" s="44">
        <v>194805</v>
      </c>
    </row>
    <row r="9" spans="1:7" x14ac:dyDescent="0.3">
      <c r="A9" s="29" t="s">
        <v>11</v>
      </c>
      <c r="B9" s="44"/>
      <c r="C9" s="44"/>
      <c r="D9" s="44"/>
      <c r="E9" s="44">
        <v>85800</v>
      </c>
      <c r="F9" s="44"/>
      <c r="G9" s="44">
        <v>85800</v>
      </c>
    </row>
    <row r="10" spans="1:7" x14ac:dyDescent="0.3">
      <c r="A10" s="29" t="s">
        <v>13</v>
      </c>
      <c r="B10" s="44">
        <v>43810</v>
      </c>
      <c r="C10" s="44"/>
      <c r="D10" s="44"/>
      <c r="E10" s="44"/>
      <c r="F10" s="44"/>
      <c r="G10" s="44">
        <v>43810</v>
      </c>
    </row>
    <row r="11" spans="1:7" x14ac:dyDescent="0.3">
      <c r="A11" s="29" t="s">
        <v>7</v>
      </c>
      <c r="B11" s="44"/>
      <c r="C11" s="44"/>
      <c r="D11" s="44"/>
      <c r="E11" s="44">
        <v>507000</v>
      </c>
      <c r="F11" s="44"/>
      <c r="G11" s="44">
        <v>507000</v>
      </c>
    </row>
    <row r="12" spans="1:7" x14ac:dyDescent="0.3">
      <c r="A12" s="29" t="s">
        <v>8</v>
      </c>
      <c r="B12" s="44"/>
      <c r="C12" s="44"/>
      <c r="D12" s="44">
        <v>192400</v>
      </c>
      <c r="E12" s="44"/>
      <c r="F12" s="44"/>
      <c r="G12" s="44">
        <v>192400</v>
      </c>
    </row>
    <row r="13" spans="1:7" x14ac:dyDescent="0.3">
      <c r="A13" s="29" t="s">
        <v>9</v>
      </c>
      <c r="B13" s="44"/>
      <c r="C13" s="44"/>
      <c r="D13" s="44">
        <v>77740</v>
      </c>
      <c r="E13" s="44"/>
      <c r="F13" s="44"/>
      <c r="G13" s="44">
        <v>77740</v>
      </c>
    </row>
    <row r="14" spans="1:7" x14ac:dyDescent="0.3">
      <c r="A14" s="29" t="s">
        <v>10</v>
      </c>
      <c r="B14" s="44"/>
      <c r="C14" s="44"/>
      <c r="D14" s="44"/>
      <c r="E14" s="44"/>
      <c r="F14" s="47">
        <v>239200</v>
      </c>
      <c r="G14" s="44">
        <v>239200</v>
      </c>
    </row>
    <row r="15" spans="1:7" x14ac:dyDescent="0.3">
      <c r="A15" s="29" t="s">
        <v>12</v>
      </c>
      <c r="B15" s="44">
        <v>67340</v>
      </c>
      <c r="C15" s="44"/>
      <c r="D15" s="44"/>
      <c r="E15" s="44"/>
      <c r="F15" s="44"/>
      <c r="G15" s="44">
        <v>67340</v>
      </c>
    </row>
    <row r="21" spans="1:3" x14ac:dyDescent="0.3">
      <c r="A21" s="70" t="s">
        <v>117</v>
      </c>
      <c r="B21" s="70"/>
      <c r="C21" s="70"/>
    </row>
    <row r="22" spans="1:3" x14ac:dyDescent="0.3">
      <c r="A22" s="70" t="s">
        <v>120</v>
      </c>
      <c r="B22" s="70"/>
      <c r="C22" s="70"/>
    </row>
    <row r="23" spans="1:3" x14ac:dyDescent="0.3">
      <c r="A23" s="12"/>
    </row>
    <row r="24" spans="1:3" x14ac:dyDescent="0.3">
      <c r="A24" s="12"/>
    </row>
    <row r="25" spans="1:3" x14ac:dyDescent="0.3">
      <c r="A25" s="12"/>
    </row>
    <row r="26" spans="1:3" x14ac:dyDescent="0.3">
      <c r="A26" s="12"/>
    </row>
    <row r="27" spans="1:3" x14ac:dyDescent="0.3">
      <c r="A27" s="11"/>
    </row>
    <row r="28" spans="1:3" x14ac:dyDescent="0.3">
      <c r="A28" s="11"/>
    </row>
    <row r="29" spans="1:3" x14ac:dyDescent="0.3">
      <c r="A29" s="11"/>
    </row>
    <row r="30" spans="1:3" x14ac:dyDescent="0.3">
      <c r="A30" s="11"/>
    </row>
    <row r="35" spans="1:1" x14ac:dyDescent="0.3">
      <c r="A35" s="11"/>
    </row>
    <row r="36" spans="1:1" x14ac:dyDescent="0.3">
      <c r="A36" s="11"/>
    </row>
    <row r="37" spans="1:1" x14ac:dyDescent="0.3">
      <c r="A37" s="11"/>
    </row>
    <row r="38" spans="1:1" x14ac:dyDescent="0.3">
      <c r="A38" s="11"/>
    </row>
    <row r="39" spans="1:1" x14ac:dyDescent="0.3">
      <c r="A39" s="11"/>
    </row>
    <row r="40" spans="1:1" x14ac:dyDescent="0.3">
      <c r="A40" s="11"/>
    </row>
  </sheetData>
  <mergeCells count="2">
    <mergeCell ref="A22:C22"/>
    <mergeCell ref="A21:C21"/>
  </mergeCells>
  <printOptions horizontalCentered="1"/>
  <pageMargins left="0.78740157480314965" right="0.78740157480314965" top="0.98425196850393704" bottom="1.5748031496062993" header="0.51181102362204722" footer="1.1023622047244095"/>
  <pageSetup paperSize="9" scale="90" orientation="portrait" r:id="rId2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pageSetUpPr fitToPage="1"/>
  </sheetPr>
  <dimension ref="A1:G22"/>
  <sheetViews>
    <sheetView view="pageLayout" zoomScaleNormal="100" workbookViewId="0">
      <selection activeCell="B3" sqref="B3"/>
    </sheetView>
  </sheetViews>
  <sheetFormatPr defaultColWidth="9.109375" defaultRowHeight="14.4" x14ac:dyDescent="0.3"/>
  <cols>
    <col min="1" max="1" width="19.44140625" customWidth="1"/>
    <col min="2" max="2" width="12.109375" customWidth="1"/>
    <col min="3" max="3" width="12.33203125" customWidth="1"/>
    <col min="4" max="6" width="11.6640625" customWidth="1"/>
    <col min="7" max="7" width="12" customWidth="1"/>
  </cols>
  <sheetData>
    <row r="1" spans="1:7" x14ac:dyDescent="0.3">
      <c r="A1" s="28" t="s">
        <v>87</v>
      </c>
      <c r="B1" s="18" t="s" vm="1">
        <v>97</v>
      </c>
      <c r="C1" s="18"/>
      <c r="D1" s="18"/>
      <c r="E1" s="18"/>
      <c r="F1" s="18"/>
      <c r="G1" s="18"/>
    </row>
    <row r="2" spans="1:7" x14ac:dyDescent="0.3">
      <c r="A2" s="18"/>
      <c r="B2" s="18"/>
      <c r="C2" s="18"/>
      <c r="D2" s="18"/>
      <c r="E2" s="18"/>
      <c r="F2" s="18"/>
      <c r="G2" s="18"/>
    </row>
    <row r="3" spans="1:7" ht="28.2" x14ac:dyDescent="0.3">
      <c r="A3" s="45" t="s">
        <v>118</v>
      </c>
      <c r="B3" s="45" t="s">
        <v>119</v>
      </c>
      <c r="C3" s="18"/>
      <c r="D3" s="18"/>
      <c r="E3" s="18"/>
      <c r="F3" s="18"/>
      <c r="G3" s="18"/>
    </row>
    <row r="4" spans="1:7" x14ac:dyDescent="0.3">
      <c r="A4" s="28" t="s">
        <v>110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18" t="s">
        <v>111</v>
      </c>
    </row>
    <row r="5" spans="1:7" x14ac:dyDescent="0.3">
      <c r="A5" s="29" t="s">
        <v>5</v>
      </c>
      <c r="B5" s="44">
        <v>101400</v>
      </c>
      <c r="C5" s="44"/>
      <c r="D5" s="44"/>
      <c r="E5" s="44"/>
      <c r="F5" s="44"/>
      <c r="G5" s="44">
        <v>101400</v>
      </c>
    </row>
    <row r="6" spans="1:7" x14ac:dyDescent="0.3">
      <c r="A6" s="29" t="s">
        <v>4</v>
      </c>
      <c r="B6" s="44">
        <v>195000</v>
      </c>
      <c r="C6" s="44"/>
      <c r="D6" s="44"/>
      <c r="E6" s="44">
        <v>585000</v>
      </c>
      <c r="F6" s="44"/>
      <c r="G6" s="44">
        <v>780000</v>
      </c>
    </row>
    <row r="7" spans="1:7" x14ac:dyDescent="0.3">
      <c r="A7" s="29" t="s">
        <v>3</v>
      </c>
      <c r="B7" s="44"/>
      <c r="C7" s="44">
        <v>194805</v>
      </c>
      <c r="D7" s="44"/>
      <c r="E7" s="44"/>
      <c r="F7" s="44"/>
      <c r="G7" s="44">
        <v>194805</v>
      </c>
    </row>
    <row r="8" spans="1:7" x14ac:dyDescent="0.3">
      <c r="A8" s="29" t="s">
        <v>11</v>
      </c>
      <c r="B8" s="44"/>
      <c r="C8" s="44"/>
      <c r="D8" s="44"/>
      <c r="E8" s="44">
        <v>85800</v>
      </c>
      <c r="F8" s="44"/>
      <c r="G8" s="44">
        <v>85800</v>
      </c>
    </row>
    <row r="9" spans="1:7" x14ac:dyDescent="0.3">
      <c r="A9" s="29" t="s">
        <v>7</v>
      </c>
      <c r="B9" s="44"/>
      <c r="C9" s="44"/>
      <c r="D9" s="44"/>
      <c r="E9" s="44">
        <v>507000</v>
      </c>
      <c r="F9" s="44"/>
      <c r="G9" s="44">
        <v>507000</v>
      </c>
    </row>
    <row r="10" spans="1:7" x14ac:dyDescent="0.3">
      <c r="A10" s="29" t="s">
        <v>8</v>
      </c>
      <c r="B10" s="44"/>
      <c r="C10" s="44"/>
      <c r="D10" s="44">
        <v>192400</v>
      </c>
      <c r="E10" s="44"/>
      <c r="F10" s="44"/>
      <c r="G10" s="44">
        <v>192400</v>
      </c>
    </row>
    <row r="11" spans="1:7" x14ac:dyDescent="0.3">
      <c r="A11" s="29" t="s">
        <v>10</v>
      </c>
      <c r="B11" s="44"/>
      <c r="C11" s="44"/>
      <c r="D11" s="44"/>
      <c r="E11" s="44"/>
      <c r="F11" s="44">
        <v>239200</v>
      </c>
      <c r="G11" s="44">
        <v>239200</v>
      </c>
    </row>
    <row r="21" spans="1:3" x14ac:dyDescent="0.3">
      <c r="A21" s="70" t="s">
        <v>117</v>
      </c>
      <c r="B21" s="70"/>
      <c r="C21" s="70"/>
    </row>
    <row r="22" spans="1:3" x14ac:dyDescent="0.3">
      <c r="A22" s="70" t="s">
        <v>120</v>
      </c>
      <c r="B22" s="70"/>
      <c r="C22" s="70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3" fitToHeight="0" orientation="portrait" r:id="rId2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pageSetUpPr fitToPage="1"/>
  </sheetPr>
  <dimension ref="A1:E22"/>
  <sheetViews>
    <sheetView view="pageLayout" zoomScaleNormal="100" workbookViewId="0">
      <selection activeCell="C14" sqref="C14"/>
    </sheetView>
  </sheetViews>
  <sheetFormatPr defaultRowHeight="14.4" x14ac:dyDescent="0.3"/>
  <cols>
    <col min="1" max="1" width="20.44140625" customWidth="1"/>
    <col min="2" max="4" width="11.5546875" customWidth="1"/>
    <col min="5" max="5" width="13.33203125" customWidth="1"/>
  </cols>
  <sheetData>
    <row r="1" spans="1:5" x14ac:dyDescent="0.3">
      <c r="A1" s="28" t="s">
        <v>87</v>
      </c>
      <c r="B1" s="18" t="s" vm="2">
        <v>98</v>
      </c>
      <c r="C1" s="18"/>
      <c r="D1" s="18"/>
      <c r="E1" s="18"/>
    </row>
    <row r="2" spans="1:5" x14ac:dyDescent="0.3">
      <c r="A2" s="18"/>
      <c r="B2" s="18"/>
      <c r="C2" s="18"/>
      <c r="D2" s="18"/>
      <c r="E2" s="18"/>
    </row>
    <row r="3" spans="1:5" ht="28.2" x14ac:dyDescent="0.3">
      <c r="A3" s="45" t="s">
        <v>118</v>
      </c>
      <c r="B3" s="45" t="s">
        <v>119</v>
      </c>
      <c r="C3" s="18"/>
      <c r="D3" s="18"/>
      <c r="E3" s="18"/>
    </row>
    <row r="4" spans="1:5" x14ac:dyDescent="0.3">
      <c r="A4" s="28" t="s">
        <v>110</v>
      </c>
      <c r="B4" s="65">
        <v>10</v>
      </c>
      <c r="C4" s="65">
        <v>15</v>
      </c>
      <c r="D4" s="65">
        <v>20</v>
      </c>
      <c r="E4" s="65" t="s">
        <v>111</v>
      </c>
    </row>
    <row r="5" spans="1:5" x14ac:dyDescent="0.3">
      <c r="A5" s="29" t="s">
        <v>5</v>
      </c>
      <c r="B5" s="64">
        <v>101400</v>
      </c>
      <c r="C5" s="64"/>
      <c r="D5" s="64"/>
      <c r="E5" s="64">
        <v>101400</v>
      </c>
    </row>
    <row r="6" spans="1:5" x14ac:dyDescent="0.3">
      <c r="A6" s="29" t="s">
        <v>6</v>
      </c>
      <c r="B6" s="64"/>
      <c r="C6" s="64">
        <v>159705</v>
      </c>
      <c r="D6" s="64"/>
      <c r="E6" s="64">
        <v>159705</v>
      </c>
    </row>
    <row r="7" spans="1:5" x14ac:dyDescent="0.3">
      <c r="A7" s="29" t="s">
        <v>4</v>
      </c>
      <c r="B7" s="64"/>
      <c r="C7" s="64"/>
      <c r="D7" s="64">
        <v>390000</v>
      </c>
      <c r="E7" s="64">
        <v>390000</v>
      </c>
    </row>
    <row r="8" spans="1:5" x14ac:dyDescent="0.3">
      <c r="A8" s="29" t="s">
        <v>13</v>
      </c>
      <c r="B8" s="64">
        <v>43810</v>
      </c>
      <c r="C8" s="64"/>
      <c r="D8" s="64"/>
      <c r="E8" s="64">
        <v>43810</v>
      </c>
    </row>
    <row r="9" spans="1:5" x14ac:dyDescent="0.3">
      <c r="A9" s="29" t="s">
        <v>12</v>
      </c>
      <c r="B9" s="64">
        <v>67340</v>
      </c>
      <c r="C9" s="64"/>
      <c r="D9" s="64"/>
      <c r="E9" s="64">
        <v>67340</v>
      </c>
    </row>
    <row r="10" spans="1:5" x14ac:dyDescent="0.3">
      <c r="A10" s="29" t="s">
        <v>9</v>
      </c>
      <c r="B10" s="64"/>
      <c r="C10" s="64"/>
      <c r="D10" s="64">
        <v>77740</v>
      </c>
      <c r="E10" s="64">
        <v>77740</v>
      </c>
    </row>
    <row r="21" spans="1:3" x14ac:dyDescent="0.3">
      <c r="A21" s="70" t="s">
        <v>117</v>
      </c>
      <c r="B21" s="70"/>
      <c r="C21" s="70"/>
    </row>
    <row r="22" spans="1:3" x14ac:dyDescent="0.3">
      <c r="A22" s="70" t="s">
        <v>120</v>
      </c>
      <c r="B22" s="70"/>
      <c r="C22" s="70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orientation="portrait" r:id="rId2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M22"/>
  <sheetViews>
    <sheetView view="pageLayout" zoomScaleNormal="100" workbookViewId="0">
      <selection activeCell="D1" sqref="D1"/>
    </sheetView>
  </sheetViews>
  <sheetFormatPr defaultColWidth="6.5546875" defaultRowHeight="14.4" x14ac:dyDescent="0.3"/>
  <cols>
    <col min="1" max="1" width="18.44140625" customWidth="1"/>
    <col min="2" max="7" width="12.6640625" customWidth="1"/>
    <col min="8" max="10" width="11.5546875" customWidth="1"/>
    <col min="11" max="12" width="12.6640625" customWidth="1"/>
    <col min="13" max="13" width="14.44140625" customWidth="1"/>
    <col min="14" max="14" width="15.44140625" customWidth="1"/>
    <col min="15" max="15" width="13.44140625" customWidth="1"/>
    <col min="16" max="16" width="13" customWidth="1"/>
    <col min="17" max="17" width="17" bestFit="1" customWidth="1"/>
    <col min="18" max="18" width="13" customWidth="1"/>
    <col min="19" max="19" width="17" bestFit="1" customWidth="1"/>
    <col min="20" max="20" width="13" customWidth="1"/>
    <col min="21" max="21" width="17" bestFit="1" customWidth="1"/>
    <col min="22" max="22" width="13" customWidth="1"/>
    <col min="23" max="23" width="17" bestFit="1" customWidth="1"/>
    <col min="24" max="24" width="13.44140625" bestFit="1" customWidth="1"/>
  </cols>
  <sheetData>
    <row r="1" spans="1:13" ht="28.2" x14ac:dyDescent="0.3">
      <c r="A1" s="45" t="s">
        <v>112</v>
      </c>
      <c r="B1" s="45" t="s">
        <v>119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x14ac:dyDescent="0.3">
      <c r="A2" s="45" t="s">
        <v>110</v>
      </c>
      <c r="B2" s="67">
        <v>35066</v>
      </c>
      <c r="C2" s="67">
        <v>35077</v>
      </c>
      <c r="D2" s="67">
        <v>35081</v>
      </c>
      <c r="E2" s="67">
        <v>35084</v>
      </c>
      <c r="F2" s="67">
        <v>35090</v>
      </c>
      <c r="G2" s="67">
        <v>35097</v>
      </c>
      <c r="H2" s="63">
        <v>35105</v>
      </c>
      <c r="I2" s="63">
        <v>35110</v>
      </c>
      <c r="J2" s="63">
        <v>35111</v>
      </c>
      <c r="K2" s="63">
        <v>35116</v>
      </c>
      <c r="L2" s="63">
        <v>35118</v>
      </c>
      <c r="M2" s="63" t="s">
        <v>111</v>
      </c>
    </row>
    <row r="3" spans="1:13" x14ac:dyDescent="0.3">
      <c r="A3" s="29" t="s">
        <v>72</v>
      </c>
      <c r="B3" s="64"/>
      <c r="C3" s="64">
        <v>507000</v>
      </c>
      <c r="D3" s="64"/>
      <c r="E3" s="64"/>
      <c r="F3" s="64"/>
      <c r="G3" s="64"/>
      <c r="H3" s="64"/>
      <c r="I3" s="64"/>
      <c r="J3" s="64"/>
      <c r="K3" s="64"/>
      <c r="L3" s="64"/>
      <c r="M3" s="64">
        <v>507000</v>
      </c>
    </row>
    <row r="4" spans="1:13" x14ac:dyDescent="0.3">
      <c r="A4" s="29" t="s">
        <v>53</v>
      </c>
      <c r="B4" s="64"/>
      <c r="C4" s="64"/>
      <c r="D4" s="64"/>
      <c r="E4" s="64">
        <v>85800</v>
      </c>
      <c r="F4" s="64"/>
      <c r="G4" s="64"/>
      <c r="H4" s="64"/>
      <c r="I4" s="64">
        <v>43810</v>
      </c>
      <c r="J4" s="64"/>
      <c r="K4" s="64"/>
      <c r="L4" s="64"/>
      <c r="M4" s="64">
        <v>129610</v>
      </c>
    </row>
    <row r="5" spans="1:13" x14ac:dyDescent="0.3">
      <c r="A5" s="29" t="s">
        <v>77</v>
      </c>
      <c r="B5" s="64"/>
      <c r="C5" s="64"/>
      <c r="D5" s="64"/>
      <c r="E5" s="64"/>
      <c r="F5" s="64">
        <v>239200</v>
      </c>
      <c r="G5" s="64"/>
      <c r="H5" s="64">
        <v>77740</v>
      </c>
      <c r="I5" s="64"/>
      <c r="J5" s="64"/>
      <c r="K5" s="64"/>
      <c r="L5" s="64"/>
      <c r="M5" s="64">
        <v>316940</v>
      </c>
    </row>
    <row r="6" spans="1:13" x14ac:dyDescent="0.3">
      <c r="A6" s="29" t="s">
        <v>29</v>
      </c>
      <c r="B6" s="64">
        <v>195000</v>
      </c>
      <c r="C6" s="64"/>
      <c r="D6" s="64"/>
      <c r="E6" s="64">
        <v>585000</v>
      </c>
      <c r="F6" s="64"/>
      <c r="G6" s="64"/>
      <c r="H6" s="64"/>
      <c r="I6" s="64"/>
      <c r="J6" s="64"/>
      <c r="K6" s="64">
        <v>390000</v>
      </c>
      <c r="L6" s="64"/>
      <c r="M6" s="64">
        <v>1170000</v>
      </c>
    </row>
    <row r="7" spans="1:13" x14ac:dyDescent="0.3">
      <c r="A7" s="29" t="s">
        <v>63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>
        <v>101400</v>
      </c>
      <c r="M7" s="64">
        <v>101400</v>
      </c>
    </row>
    <row r="8" spans="1:13" x14ac:dyDescent="0.3">
      <c r="A8" s="29" t="s">
        <v>82</v>
      </c>
      <c r="B8" s="64"/>
      <c r="C8" s="64"/>
      <c r="D8" s="64"/>
      <c r="E8" s="64"/>
      <c r="F8" s="64"/>
      <c r="G8" s="64">
        <v>159705</v>
      </c>
      <c r="H8" s="64"/>
      <c r="I8" s="64"/>
      <c r="J8" s="64"/>
      <c r="K8" s="64"/>
      <c r="L8" s="64"/>
      <c r="M8" s="64">
        <v>159705</v>
      </c>
    </row>
    <row r="9" spans="1:13" x14ac:dyDescent="0.3">
      <c r="A9" s="29" t="s">
        <v>43</v>
      </c>
      <c r="B9" s="64"/>
      <c r="C9" s="64"/>
      <c r="D9" s="64">
        <v>101400</v>
      </c>
      <c r="E9" s="64"/>
      <c r="F9" s="64"/>
      <c r="G9" s="64"/>
      <c r="H9" s="64"/>
      <c r="I9" s="64"/>
      <c r="J9" s="64"/>
      <c r="K9" s="64"/>
      <c r="L9" s="64"/>
      <c r="M9" s="64">
        <v>101400</v>
      </c>
    </row>
    <row r="10" spans="1:13" x14ac:dyDescent="0.3">
      <c r="A10" s="29" t="s">
        <v>24</v>
      </c>
      <c r="B10" s="64">
        <v>192400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>
        <v>192400</v>
      </c>
    </row>
    <row r="11" spans="1:13" x14ac:dyDescent="0.3">
      <c r="A11" s="29" t="s">
        <v>33</v>
      </c>
      <c r="B11" s="64"/>
      <c r="C11" s="64">
        <v>194805</v>
      </c>
      <c r="D11" s="64"/>
      <c r="E11" s="64"/>
      <c r="F11" s="64"/>
      <c r="G11" s="64"/>
      <c r="H11" s="64"/>
      <c r="I11" s="64"/>
      <c r="J11" s="64"/>
      <c r="K11" s="64"/>
      <c r="L11" s="64"/>
      <c r="M11" s="64">
        <v>194805</v>
      </c>
    </row>
    <row r="12" spans="1:13" x14ac:dyDescent="0.3">
      <c r="A12" s="29" t="s">
        <v>68</v>
      </c>
      <c r="B12" s="64"/>
      <c r="C12" s="64"/>
      <c r="D12" s="64"/>
      <c r="E12" s="64"/>
      <c r="F12" s="64"/>
      <c r="G12" s="64"/>
      <c r="H12" s="64"/>
      <c r="I12" s="64"/>
      <c r="J12" s="64">
        <v>67340</v>
      </c>
      <c r="K12" s="64"/>
      <c r="L12" s="64"/>
      <c r="M12" s="64">
        <v>67340</v>
      </c>
    </row>
    <row r="13" spans="1:13" x14ac:dyDescent="0.3">
      <c r="A13" s="29" t="s">
        <v>111</v>
      </c>
      <c r="B13" s="64">
        <v>387400</v>
      </c>
      <c r="C13" s="64">
        <v>701805</v>
      </c>
      <c r="D13" s="64">
        <v>101400</v>
      </c>
      <c r="E13" s="64">
        <v>670800</v>
      </c>
      <c r="F13" s="64">
        <v>239200</v>
      </c>
      <c r="G13" s="64">
        <v>159705</v>
      </c>
      <c r="H13" s="64">
        <v>77740</v>
      </c>
      <c r="I13" s="64">
        <v>43810</v>
      </c>
      <c r="J13" s="64">
        <v>67340</v>
      </c>
      <c r="K13" s="64">
        <v>390000</v>
      </c>
      <c r="L13" s="64">
        <v>101400</v>
      </c>
      <c r="M13" s="64">
        <v>2940600</v>
      </c>
    </row>
    <row r="21" spans="1:7" x14ac:dyDescent="0.3">
      <c r="A21" s="70" t="s">
        <v>117</v>
      </c>
      <c r="B21" s="70"/>
      <c r="C21" s="70"/>
      <c r="D21" s="66"/>
      <c r="E21" s="66"/>
      <c r="F21" s="66"/>
      <c r="G21" s="66"/>
    </row>
    <row r="22" spans="1:7" x14ac:dyDescent="0.3">
      <c r="A22" s="70" t="s">
        <v>120</v>
      </c>
      <c r="B22" s="70"/>
      <c r="C22" s="70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0" fitToWidth="2" orientation="portrait" r:id="rId2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"/>
  <sheetViews>
    <sheetView tabSelected="1" showWhiteSpace="0" view="pageLayout" zoomScaleNormal="100" workbookViewId="0">
      <selection activeCell="M24" sqref="M24"/>
    </sheetView>
  </sheetViews>
  <sheetFormatPr defaultColWidth="9.109375" defaultRowHeight="14.4" x14ac:dyDescent="0.3"/>
  <cols>
    <col min="1" max="14" width="9.33203125" customWidth="1"/>
  </cols>
  <sheetData/>
  <printOptions horizontalCentered="1"/>
  <pageMargins left="0.78740157480314965" right="0.78740157480314965" top="0.98425196850393704" bottom="1.5748031496062993" header="0.51181102362204722" footer="1.1023622047244095"/>
  <pageSetup paperSize="9" orientation="landscape" blackAndWhite="1" r:id="rId1"/>
  <headerFooter>
    <oddHeader>&amp;L&amp;"Times New Roman,обычный"Хромцов С.Ю.
По-432&amp;C&amp;"Times New Roman,обычный"&amp;A&amp;R&amp;"Times New Roman,обычный"&amp;D</oddHeader>
    <oddFooter>&amp;C&amp;"Times New Roman,обычный"&amp;P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EF847B-7CE5-4800-8B8F-85833664E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24</vt:i4>
      </vt:variant>
    </vt:vector>
  </HeadingPairs>
  <TitlesOfParts>
    <vt:vector size="33" baseType="lpstr">
      <vt:lpstr>Товары</vt:lpstr>
      <vt:lpstr>Клиенты</vt:lpstr>
      <vt:lpstr>Заказы</vt:lpstr>
      <vt:lpstr>Бланк</vt:lpstr>
      <vt:lpstr>Таблица</vt:lpstr>
      <vt:lpstr>Январь</vt:lpstr>
      <vt:lpstr>Февраль</vt:lpstr>
      <vt:lpstr>Таблица1</vt:lpstr>
      <vt:lpstr>Диаграмма</vt:lpstr>
      <vt:lpstr>Заказы!Дата</vt:lpstr>
      <vt:lpstr>Заказы!Заголовки_для_печати</vt:lpstr>
      <vt:lpstr>Таблица1!Заголовки_для_печати</vt:lpstr>
      <vt:lpstr>Заказы!Заказ</vt:lpstr>
      <vt:lpstr>Клиенты!Клиент</vt:lpstr>
      <vt:lpstr>Клиент</vt:lpstr>
      <vt:lpstr>Клиенты</vt:lpstr>
      <vt:lpstr>Клиенты!Код</vt:lpstr>
      <vt:lpstr>Заказы!Код2</vt:lpstr>
      <vt:lpstr>Заказы!Количество</vt:lpstr>
      <vt:lpstr>Клиенты!Критерии</vt:lpstr>
      <vt:lpstr>Товары!Номер</vt:lpstr>
      <vt:lpstr>Заказы!Номер2</vt:lpstr>
      <vt:lpstr>Заказы!Оплата</vt:lpstr>
      <vt:lpstr>Заказы!Скидка</vt:lpstr>
      <vt:lpstr>Клиенты!Скидка</vt:lpstr>
      <vt:lpstr>Заказы!Скидка2</vt:lpstr>
      <vt:lpstr>Заказы!Сумма</vt:lpstr>
      <vt:lpstr>Товары!Товар</vt:lpstr>
      <vt:lpstr>Заказы!Товар2</vt:lpstr>
      <vt:lpstr>Клиенты!Фирма</vt:lpstr>
      <vt:lpstr>Заказы!Фирма2</vt:lpstr>
      <vt:lpstr>Товары!Цена</vt:lpstr>
      <vt:lpstr>Заказы!Цена2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2023-11-27T15:45:00Z</dcterms:modified>
</cp:coreProperties>
</file>